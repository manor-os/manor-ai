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a2f061fdf049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als" sheetId="1" r:id="Ra262efc6f8714507"/>
    <x:sheet xmlns:r="http://schemas.openxmlformats.org/officeDocument/2006/relationships" name="Pipeline Board" sheetId="2" r:id="R71b121f4e51643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"/>
    <x:numFmt numFmtId="201" formatCode="0%"/>
    <x:numFmt numFmtId="202" formatCode="mmm d"/>
    <x:numFmt numFmtId="203" formatCode="#,##0"/>
  </x:numFmts>
  <x:fonts count="30">
    <x:font>
      <x:sz val="11"/>
      <x:name val="Carlito"/>
    </x:font>
    <x:font>
      <x:b/>
      <x:sz val="20"/>
      <x:color rgb="FFFFFFFF"/>
      <x:name val="Carlito"/>
    </x:font>
    <x:font>
      <x:i/>
      <x:sz val="9"/>
      <x:color rgb="FF315B60"/>
      <x:name val="Carlito"/>
    </x:font>
    <x:font>
      <x:b/>
      <x:sz val="9"/>
      <x:color rgb="FFFFFFFF"/>
      <x:name val="Carlito"/>
    </x:font>
    <x:font>
      <x:b/>
      <x:sz val="11"/>
      <x:color rgb="FF436B65"/>
      <x:name val="Carlito"/>
    </x:font>
    <x:font>
      <x:sz val="9"/>
      <x:color rgb="FF1F2933"/>
      <x:name val="Arial"/>
    </x:font>
    <x:font>
      <x:b/>
      <x:sz val="22"/>
      <x:color rgb="FFFFFFFF"/>
      <x:name val="Arial"/>
    </x:font>
    <x:font>
      <x:b/>
      <x:sz val="9"/>
      <x:color rgb="FFFFFFFF"/>
      <x:name val="Arial"/>
    </x:font>
    <x:font>
      <x:b/>
      <x:sz val="8"/>
      <x:color rgb="FF436B65"/>
      <x:name val="Arial"/>
    </x:font>
    <x:font>
      <x:b/>
      <x:sz val="20"/>
      <x:color rgb="FF1F2933"/>
      <x:name val="Arial"/>
    </x:font>
    <x:font>
      <x:b/>
      <x:sz val="9"/>
      <x:color rgb="FF765220"/>
      <x:name val="Arial"/>
    </x:font>
    <x:font>
      <x:b/>
      <x:sz val="8"/>
      <x:color rgb="FFFFFFFF"/>
      <x:name val="Arial"/>
    </x:font>
    <x:font>
      <x:b/>
      <x:sz val="10"/>
      <x:color rgb="FF1F2933"/>
      <x:name val="Arial"/>
    </x:font>
    <x:font>
      <x:b/>
      <x:sz val="11"/>
      <x:color rgb="FF557FA3"/>
      <x:name val="Arial"/>
    </x:font>
    <x:font>
      <x:b/>
      <x:sz val="9"/>
      <x:color rgb="FF557FA3"/>
      <x:name val="Arial"/>
    </x:font>
    <x:font>
      <x:sz val="8"/>
      <x:color rgb="FF557FA3"/>
      <x:name val="Arial"/>
    </x:font>
    <x:font>
      <x:sz val="7"/>
      <x:color rgb="FF667085"/>
      <x:name val="Arial"/>
    </x:font>
    <x:font>
      <x:b/>
      <x:sz val="11"/>
      <x:color rgb="FF735C7D"/>
      <x:name val="Arial"/>
    </x:font>
    <x:font>
      <x:b/>
      <x:sz val="9"/>
      <x:color rgb="FF735C7D"/>
      <x:name val="Arial"/>
    </x:font>
    <x:font>
      <x:sz val="8"/>
      <x:color rgb="FF735C7D"/>
      <x:name val="Arial"/>
    </x:font>
    <x:font>
      <x:b/>
      <x:sz val="11"/>
      <x:color rgb="FFC68B3C"/>
      <x:name val="Arial"/>
    </x:font>
    <x:font>
      <x:b/>
      <x:sz val="9"/>
      <x:color rgb="FFC68B3C"/>
      <x:name val="Arial"/>
    </x:font>
    <x:font>
      <x:sz val="8"/>
      <x:color rgb="FFC68B3C"/>
      <x:name val="Arial"/>
    </x:font>
    <x:font>
      <x:b/>
      <x:sz val="11"/>
      <x:color rgb="FFD97A5F"/>
      <x:name val="Arial"/>
    </x:font>
    <x:font>
      <x:b/>
      <x:sz val="9"/>
      <x:color rgb="FFD97A5F"/>
      <x:name val="Arial"/>
    </x:font>
    <x:font>
      <x:sz val="8"/>
      <x:color rgb="FFD97A5F"/>
      <x:name val="Arial"/>
    </x:font>
    <x:font>
      <x:b/>
      <x:sz val="11"/>
      <x:color rgb="FF436B65"/>
      <x:name val="Arial"/>
    </x:font>
    <x:font>
      <x:b/>
      <x:sz val="9"/>
      <x:color rgb="FF436B65"/>
      <x:name val="Arial"/>
    </x:font>
    <x:font>
      <x:sz val="8"/>
      <x:color rgb="FF436B65"/>
      <x:name val="Arial"/>
    </x:font>
    <x:font>
      <x:b/>
      <x:sz val="9"/>
      <x:color rgb="FF315B60"/>
      <x:name val="Arial"/>
    </x:font>
  </x:fonts>
  <x:fills count="18">
    <x:fill>
      <x:patternFill patternType="none"/>
    </x:fill>
    <x:fill>
      <x:patternFill patternType="gray125"/>
    </x:fill>
    <x:fill>
      <x:patternFill patternType="solid">
        <x:fgColor rgb="FF15313B"/>
      </x:patternFill>
    </x:fill>
    <x:fill>
      <x:patternFill patternType="solid">
        <x:fgColor rgb="FFDDEFF0"/>
      </x:patternFill>
    </x:fill>
    <x:fill>
      <x:patternFill patternType="solid">
        <x:fgColor rgb="FF436B65"/>
      </x:patternFill>
    </x:fill>
    <x:fill>
      <x:patternFill patternType="solid">
        <x:fgColor rgb="FFEAF3F6"/>
      </x:patternFill>
    </x:fill>
    <x:fill>
      <x:patternFill patternType="solid">
        <x:fgColor rgb="FFEAF2F0"/>
      </x:patternFill>
    </x:fill>
    <x:fill>
      <x:patternFill patternType="solid">
        <x:fgColor rgb="FFF4F7F7"/>
      </x:patternFill>
    </x:fill>
    <x:fill>
      <x:patternFill patternType="solid">
        <x:fgColor rgb="FF1F2933"/>
      </x:patternFill>
    </x:fill>
    <x:fill>
      <x:patternFill patternType="solid">
        <x:fgColor rgb="FFFFFFFF"/>
      </x:patternFill>
    </x:fill>
    <x:fill>
      <x:patternFill patternType="solid">
        <x:fgColor rgb="FFF8F0DF"/>
      </x:patternFill>
    </x:fill>
    <x:fill>
      <x:patternFill patternType="solid">
        <x:fgColor rgb="FF557FA3"/>
      </x:patternFill>
    </x:fill>
    <x:fill>
      <x:patternFill patternType="solid">
        <x:fgColor rgb="FFE7EEF5"/>
      </x:patternFill>
    </x:fill>
    <x:fill>
      <x:patternFill patternType="solid">
        <x:fgColor rgb="FF735C7D"/>
      </x:patternFill>
    </x:fill>
    <x:fill>
      <x:patternFill patternType="solid">
        <x:fgColor rgb="FFEEE8F0"/>
      </x:patternFill>
    </x:fill>
    <x:fill>
      <x:patternFill patternType="solid">
        <x:fgColor rgb="FFC68B3C"/>
      </x:patternFill>
    </x:fill>
    <x:fill>
      <x:patternFill patternType="solid">
        <x:fgColor rgb="FFD97A5F"/>
      </x:patternFill>
    </x:fill>
    <x:fill>
      <x:patternFill patternType="solid">
        <x:fgColor rgb="FFF8E9E4"/>
      </x:patternFill>
    </x:fill>
  </x:fills>
  <x:borders count="7">
    <x:border/>
    <x:border>
      <x:left style="thin">
        <x:color rgb="FFE7E3DC"/>
      </x:left>
      <x:top style="thin">
        <x:color rgb="FFE7E3DC"/>
      </x:top>
    </x:border>
    <x:border>
      <x:top style="thin">
        <x:color rgb="FFE7E3DC"/>
      </x:top>
    </x:border>
    <x:border>
      <x:right style="thin">
        <x:color rgb="FFE7E3DC"/>
      </x:right>
      <x:top style="thin">
        <x:color rgb="FFE7E3DC"/>
      </x:top>
    </x:border>
    <x:border>
      <x:left style="thin">
        <x:color rgb="FFE7E3DC"/>
      </x:left>
      <x:bottom style="thin">
        <x:color rgb="FFE7E3DC"/>
      </x:bottom>
    </x:border>
    <x:border>
      <x:bottom style="thin">
        <x:color rgb="FFE7E3DC"/>
      </x:bottom>
    </x:border>
    <x:border>
      <x:right style="thin">
        <x:color rgb="FFE7E3DC"/>
      </x:right>
      <x:bottom style="thin">
        <x:color rgb="FFE7E3DC"/>
      </x:bottom>
    </x:border>
  </x:borders>
  <x:cellStyleXfs count="1">
    <x:xf numFmtId="0" fontId="0" fillId="0" borderId="0"/>
  </x:cellStyleXfs>
  <x:cellXfs count="1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200" fontId="4" fillId="6" borderId="0" xfId="0" applyNumberFormat="1" applyFont="1" applyFill="1" applyBorder="1"/>
    <x:xf numFmtId="200" fontId="0" fillId="5" borderId="0" xfId="0" applyNumberFormat="1" applyFont="1" applyFill="1" applyBorder="1"/>
    <x:xf numFmtId="201" fontId="0" fillId="5" borderId="0" xfId="0" applyNumberFormat="1" applyFont="1" applyFill="1" applyBorder="1"/>
    <x:xf numFmtId="202" fontId="0" fillId="5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vertical="center"/>
    </x:xf>
    <x:xf numFmtId="0" fontId="5" fillId="8" borderId="0" xfId="0" applyNumberFormat="1" applyFont="1" applyFill="1" applyBorder="1" applyAlignment="1">
      <x:alignment vertical="center"/>
    </x:xf>
    <x:xf numFmtId="0" fontId="6" fillId="8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horizontal="center" vertical="center"/>
    </x:xf>
    <x:xf numFmtId="0" fontId="5" fillId="9" borderId="0" xfId="0" applyNumberFormat="1" applyFont="1" applyFill="1" applyBorder="1" applyAlignment="1">
      <x:alignment vertical="center"/>
    </x:xf>
    <x:xf numFmtId="0" fontId="9" fillId="9" borderId="0" xfId="0" applyNumberFormat="1" applyFont="1" applyFill="1" applyBorder="1" applyAlignment="1">
      <x:alignment vertical="center"/>
    </x:xf>
    <x:xf numFmtId="0" fontId="9" fillId="9" borderId="1" xfId="0" applyNumberFormat="1" applyFont="1" applyFill="1" applyBorder="1" applyAlignment="1">
      <x:alignment vertical="center"/>
    </x:xf>
    <x:xf numFmtId="0" fontId="9" fillId="9" borderId="2" xfId="0" applyNumberFormat="1" applyFont="1" applyFill="1" applyBorder="1" applyAlignment="1">
      <x:alignment vertical="center"/>
    </x:xf>
    <x:xf numFmtId="0" fontId="9" fillId="9" borderId="3" xfId="0" applyNumberFormat="1" applyFont="1" applyFill="1" applyBorder="1" applyAlignment="1">
      <x:alignment vertical="center"/>
    </x:xf>
    <x:xf numFmtId="0" fontId="9" fillId="9" borderId="4" xfId="0" applyNumberFormat="1" applyFont="1" applyFill="1" applyBorder="1" applyAlignment="1">
      <x:alignment vertical="center"/>
    </x:xf>
    <x:xf numFmtId="0" fontId="9" fillId="9" borderId="5" xfId="0" applyNumberFormat="1" applyFont="1" applyFill="1" applyBorder="1" applyAlignment="1">
      <x:alignment vertical="center"/>
    </x:xf>
    <x:xf numFmtId="0" fontId="9" fillId="9" borderId="6" xfId="0" applyNumberFormat="1" applyFont="1" applyFill="1" applyBorder="1" applyAlignment="1">
      <x:alignment vertical="center"/>
    </x:xf>
    <x:xf numFmtId="200" fontId="9" fillId="9" borderId="1" xfId="0" applyNumberFormat="1" applyFont="1" applyFill="1" applyBorder="1" applyAlignment="1">
      <x:alignment vertical="center"/>
    </x:xf>
    <x:xf numFmtId="200" fontId="9" fillId="9" borderId="2" xfId="0" applyNumberFormat="1" applyFont="1" applyFill="1" applyBorder="1" applyAlignment="1">
      <x:alignment vertical="center"/>
    </x:xf>
    <x:xf numFmtId="200" fontId="9" fillId="9" borderId="3" xfId="0" applyNumberFormat="1" applyFont="1" applyFill="1" applyBorder="1" applyAlignment="1">
      <x:alignment vertical="center"/>
    </x:xf>
    <x:xf numFmtId="200" fontId="9" fillId="9" borderId="4" xfId="0" applyNumberFormat="1" applyFont="1" applyFill="1" applyBorder="1" applyAlignment="1">
      <x:alignment vertical="center"/>
    </x:xf>
    <x:xf numFmtId="200" fontId="9" fillId="9" borderId="5" xfId="0" applyNumberFormat="1" applyFont="1" applyFill="1" applyBorder="1" applyAlignment="1">
      <x:alignment vertical="center"/>
    </x:xf>
    <x:xf numFmtId="200" fontId="9" fillId="9" borderId="6" xfId="0" applyNumberFormat="1" applyFont="1" applyFill="1" applyBorder="1" applyAlignment="1">
      <x:alignment vertical="center"/>
    </x:xf>
    <x:xf numFmtId="200" fontId="9" fillId="9" borderId="1" xfId="0" applyNumberFormat="1" applyFont="1" applyFill="1" applyBorder="1" applyAlignment="1">
      <x:alignment horizontal="center" vertical="center"/>
    </x:xf>
    <x:xf numFmtId="200" fontId="9" fillId="9" borderId="2" xfId="0" applyNumberFormat="1" applyFont="1" applyFill="1" applyBorder="1" applyAlignment="1">
      <x:alignment horizontal="center" vertical="center"/>
    </x:xf>
    <x:xf numFmtId="200" fontId="9" fillId="9" borderId="3" xfId="0" applyNumberFormat="1" applyFont="1" applyFill="1" applyBorder="1" applyAlignment="1">
      <x:alignment horizontal="center" vertical="center"/>
    </x:xf>
    <x:xf numFmtId="200" fontId="9" fillId="9" borderId="4" xfId="0" applyNumberFormat="1" applyFont="1" applyFill="1" applyBorder="1" applyAlignment="1">
      <x:alignment horizontal="center" vertical="center"/>
    </x:xf>
    <x:xf numFmtId="200" fontId="9" fillId="9" borderId="5" xfId="0" applyNumberFormat="1" applyFont="1" applyFill="1" applyBorder="1" applyAlignment="1">
      <x:alignment horizontal="center" vertical="center"/>
    </x:xf>
    <x:xf numFmtId="200" fontId="9" fillId="9" borderId="6" xfId="0" applyNumberFormat="1" applyFont="1" applyFill="1" applyBorder="1" applyAlignment="1">
      <x:alignment horizontal="center" vertical="center"/>
    </x:xf>
    <x:xf numFmtId="203" fontId="9" fillId="9" borderId="1" xfId="0" applyNumberFormat="1" applyFont="1" applyFill="1" applyBorder="1" applyAlignment="1">
      <x:alignment vertical="center"/>
    </x:xf>
    <x:xf numFmtId="203" fontId="9" fillId="9" borderId="2" xfId="0" applyNumberFormat="1" applyFont="1" applyFill="1" applyBorder="1" applyAlignment="1">
      <x:alignment vertical="center"/>
    </x:xf>
    <x:xf numFmtId="203" fontId="9" fillId="9" borderId="3" xfId="0" applyNumberFormat="1" applyFont="1" applyFill="1" applyBorder="1" applyAlignment="1">
      <x:alignment vertical="center"/>
    </x:xf>
    <x:xf numFmtId="203" fontId="9" fillId="9" borderId="4" xfId="0" applyNumberFormat="1" applyFont="1" applyFill="1" applyBorder="1" applyAlignment="1">
      <x:alignment vertical="center"/>
    </x:xf>
    <x:xf numFmtId="203" fontId="9" fillId="9" borderId="5" xfId="0" applyNumberFormat="1" applyFont="1" applyFill="1" applyBorder="1" applyAlignment="1">
      <x:alignment vertical="center"/>
    </x:xf>
    <x:xf numFmtId="203" fontId="9" fillId="9" borderId="6" xfId="0" applyNumberFormat="1" applyFont="1" applyFill="1" applyBorder="1" applyAlignment="1">
      <x:alignment vertical="center"/>
    </x:xf>
    <x:xf numFmtId="203" fontId="9" fillId="9" borderId="1" xfId="0" applyNumberFormat="1" applyFont="1" applyFill="1" applyBorder="1" applyAlignment="1">
      <x:alignment horizontal="center" vertical="center"/>
    </x:xf>
    <x:xf numFmtId="203" fontId="9" fillId="9" borderId="2" xfId="0" applyNumberFormat="1" applyFont="1" applyFill="1" applyBorder="1" applyAlignment="1">
      <x:alignment horizontal="center" vertical="center"/>
    </x:xf>
    <x:xf numFmtId="203" fontId="9" fillId="9" borderId="3" xfId="0" applyNumberFormat="1" applyFont="1" applyFill="1" applyBorder="1" applyAlignment="1">
      <x:alignment horizontal="center" vertical="center"/>
    </x:xf>
    <x:xf numFmtId="203" fontId="9" fillId="9" borderId="4" xfId="0" applyNumberFormat="1" applyFont="1" applyFill="1" applyBorder="1" applyAlignment="1">
      <x:alignment horizontal="center" vertical="center"/>
    </x:xf>
    <x:xf numFmtId="203" fontId="9" fillId="9" borderId="5" xfId="0" applyNumberFormat="1" applyFont="1" applyFill="1" applyBorder="1" applyAlignment="1">
      <x:alignment horizontal="center" vertical="center"/>
    </x:xf>
    <x:xf numFmtId="203" fontId="9" fillId="9" borderId="6" xfId="0" applyNumberFormat="1" applyFont="1" applyFill="1" applyBorder="1" applyAlignment="1">
      <x:alignment horizontal="center" vertical="center"/>
    </x:xf>
    <x:xf numFmtId="0" fontId="5" fillId="10" borderId="0" xfId="0" applyNumberFormat="1" applyFont="1" applyFill="1" applyBorder="1" applyAlignment="1">
      <x:alignment vertical="center"/>
    </x:xf>
    <x:xf numFmtId="0" fontId="10" fillId="10" borderId="0" xfId="0" applyNumberFormat="1" applyFont="1" applyFill="1" applyBorder="1" applyAlignment="1">
      <x:alignment vertical="center"/>
    </x:xf>
    <x:xf numFmtId="0" fontId="10" fillId="10" borderId="0" xfId="0" applyNumberFormat="1" applyFont="1" applyFill="1" applyBorder="1" applyAlignment="1">
      <x:alignment vertical="center" wrapText="1"/>
    </x:xf>
    <x:xf numFmtId="0" fontId="5" fillId="11" borderId="0" xfId="0" applyNumberFormat="1" applyFont="1" applyFill="1" applyBorder="1" applyAlignment="1">
      <x:alignment vertical="center"/>
    </x:xf>
    <x:xf numFmtId="0" fontId="11" fillId="11" borderId="0" xfId="0" applyNumberFormat="1" applyFont="1" applyFill="1" applyBorder="1" applyAlignment="1">
      <x:alignment vertical="center"/>
    </x:xf>
    <x:xf numFmtId="0" fontId="11" fillId="11" borderId="0" xfId="0" applyNumberFormat="1" applyFont="1" applyFill="1" applyBorder="1" applyAlignment="1">
      <x:alignment horizontal="center" vertical="center"/>
    </x:xf>
    <x:xf numFmtId="0" fontId="12" fillId="9" borderId="0" xfId="0" applyNumberFormat="1" applyFont="1" applyFill="1" applyBorder="1" applyAlignment="1">
      <x:alignment vertical="center"/>
    </x:xf>
    <x:xf numFmtId="0" fontId="13" fillId="9" borderId="0" xfId="0" applyNumberFormat="1" applyFont="1" applyFill="1" applyBorder="1" applyAlignment="1">
      <x:alignment vertical="center"/>
    </x:xf>
    <x:xf numFmtId="200" fontId="13" fillId="9" borderId="0" xfId="0" applyNumberFormat="1" applyFont="1" applyFill="1" applyBorder="1" applyAlignment="1">
      <x:alignment vertical="center"/>
    </x:xf>
    <x:xf numFmtId="0" fontId="14" fillId="9" borderId="0" xfId="0" applyNumberFormat="1" applyFont="1" applyFill="1" applyBorder="1" applyAlignment="1">
      <x:alignment vertical="center"/>
    </x:xf>
    <x:xf numFmtId="201" fontId="14" fillId="9" borderId="0" xfId="0" applyNumberFormat="1" applyFont="1" applyFill="1" applyBorder="1" applyAlignment="1">
      <x:alignment vertical="center"/>
    </x:xf>
    <x:xf numFmtId="201" fontId="14" fillId="9" borderId="0" xfId="0" applyNumberFormat="1" applyFont="1" applyFill="1" applyBorder="1" applyAlignment="1">
      <x:alignment horizontal="right" vertical="center"/>
    </x:xf>
    <x:xf numFmtId="0" fontId="5" fillId="12" borderId="0" xfId="0" applyNumberFormat="1" applyFont="1" applyFill="1" applyBorder="1" applyAlignment="1">
      <x:alignment vertical="center"/>
    </x:xf>
    <x:xf numFmtId="0" fontId="15" fillId="12" borderId="0" xfId="0" applyNumberFormat="1" applyFont="1" applyFill="1" applyBorder="1" applyAlignment="1">
      <x:alignment vertical="center"/>
    </x:xf>
    <x:xf numFmtId="0" fontId="15" fillId="12" borderId="0" xfId="0" applyNumberFormat="1" applyFont="1" applyFill="1" applyBorder="1" applyAlignment="1">
      <x:alignment vertical="center" wrapText="1"/>
    </x:xf>
    <x:xf numFmtId="0" fontId="16" fillId="9" borderId="0" xfId="0" applyNumberFormat="1" applyFont="1" applyFill="1" applyBorder="1" applyAlignment="1">
      <x:alignment vertical="center"/>
    </x:xf>
    <x:xf numFmtId="0" fontId="5" fillId="13" borderId="0" xfId="0" applyNumberFormat="1" applyFont="1" applyFill="1" applyBorder="1" applyAlignment="1">
      <x:alignment vertical="center"/>
    </x:xf>
    <x:xf numFmtId="0" fontId="11" fillId="13" borderId="0" xfId="0" applyNumberFormat="1" applyFont="1" applyFill="1" applyBorder="1" applyAlignment="1">
      <x:alignment vertical="center"/>
    </x:xf>
    <x:xf numFmtId="0" fontId="11" fillId="13" borderId="0" xfId="0" applyNumberFormat="1" applyFont="1" applyFill="1" applyBorder="1" applyAlignment="1">
      <x:alignment horizontal="center" vertical="center"/>
    </x:xf>
    <x:xf numFmtId="0" fontId="17" fillId="9" borderId="0" xfId="0" applyNumberFormat="1" applyFont="1" applyFill="1" applyBorder="1" applyAlignment="1">
      <x:alignment vertical="center"/>
    </x:xf>
    <x:xf numFmtId="200" fontId="17" fillId="9" borderId="0" xfId="0" applyNumberFormat="1" applyFont="1" applyFill="1" applyBorder="1" applyAlignment="1">
      <x:alignment vertical="center"/>
    </x:xf>
    <x:xf numFmtId="0" fontId="18" fillId="9" borderId="0" xfId="0" applyNumberFormat="1" applyFont="1" applyFill="1" applyBorder="1" applyAlignment="1">
      <x:alignment vertical="center"/>
    </x:xf>
    <x:xf numFmtId="201" fontId="18" fillId="9" borderId="0" xfId="0" applyNumberFormat="1" applyFont="1" applyFill="1" applyBorder="1" applyAlignment="1">
      <x:alignment vertical="center"/>
    </x:xf>
    <x:xf numFmtId="201" fontId="18" fillId="9" borderId="0" xfId="0" applyNumberFormat="1" applyFont="1" applyFill="1" applyBorder="1" applyAlignment="1">
      <x:alignment horizontal="right" vertical="center"/>
    </x:xf>
    <x:xf numFmtId="0" fontId="5" fillId="14" borderId="0" xfId="0" applyNumberFormat="1" applyFont="1" applyFill="1" applyBorder="1" applyAlignment="1">
      <x:alignment vertical="center"/>
    </x:xf>
    <x:xf numFmtId="0" fontId="19" fillId="14" borderId="0" xfId="0" applyNumberFormat="1" applyFont="1" applyFill="1" applyBorder="1" applyAlignment="1">
      <x:alignment vertical="center"/>
    </x:xf>
    <x:xf numFmtId="0" fontId="19" fillId="14" borderId="0" xfId="0" applyNumberFormat="1" applyFont="1" applyFill="1" applyBorder="1" applyAlignment="1">
      <x:alignment vertical="center" wrapText="1"/>
    </x:xf>
    <x:xf numFmtId="0" fontId="5" fillId="15" borderId="0" xfId="0" applyNumberFormat="1" applyFont="1" applyFill="1" applyBorder="1" applyAlignment="1">
      <x:alignment vertical="center"/>
    </x:xf>
    <x:xf numFmtId="0" fontId="11" fillId="15" borderId="0" xfId="0" applyNumberFormat="1" applyFont="1" applyFill="1" applyBorder="1" applyAlignment="1">
      <x:alignment vertical="center"/>
    </x:xf>
    <x:xf numFmtId="0" fontId="11" fillId="15" borderId="0" xfId="0" applyNumberFormat="1" applyFont="1" applyFill="1" applyBorder="1" applyAlignment="1">
      <x:alignment horizontal="center" vertical="center"/>
    </x:xf>
    <x:xf numFmtId="0" fontId="20" fillId="9" borderId="0" xfId="0" applyNumberFormat="1" applyFont="1" applyFill="1" applyBorder="1" applyAlignment="1">
      <x:alignment vertical="center"/>
    </x:xf>
    <x:xf numFmtId="200" fontId="20" fillId="9" borderId="0" xfId="0" applyNumberFormat="1" applyFont="1" applyFill="1" applyBorder="1" applyAlignment="1">
      <x:alignment vertical="center"/>
    </x:xf>
    <x:xf numFmtId="0" fontId="21" fillId="9" borderId="0" xfId="0" applyNumberFormat="1" applyFont="1" applyFill="1" applyBorder="1" applyAlignment="1">
      <x:alignment vertical="center"/>
    </x:xf>
    <x:xf numFmtId="201" fontId="21" fillId="9" borderId="0" xfId="0" applyNumberFormat="1" applyFont="1" applyFill="1" applyBorder="1" applyAlignment="1">
      <x:alignment vertical="center"/>
    </x:xf>
    <x:xf numFmtId="201" fontId="21" fillId="9" borderId="0" xfId="0" applyNumberFormat="1" applyFont="1" applyFill="1" applyBorder="1" applyAlignment="1">
      <x:alignment horizontal="right" vertical="center"/>
    </x:xf>
    <x:xf numFmtId="0" fontId="22" fillId="10" borderId="0" xfId="0" applyNumberFormat="1" applyFont="1" applyFill="1" applyBorder="1" applyAlignment="1">
      <x:alignment vertical="center"/>
    </x:xf>
    <x:xf numFmtId="0" fontId="22" fillId="10" borderId="0" xfId="0" applyNumberFormat="1" applyFont="1" applyFill="1" applyBorder="1" applyAlignment="1">
      <x:alignment vertical="center" wrapText="1"/>
    </x:xf>
    <x:xf numFmtId="0" fontId="5" fillId="16" borderId="0" xfId="0" applyNumberFormat="1" applyFont="1" applyFill="1" applyBorder="1" applyAlignment="1">
      <x:alignment vertical="center"/>
    </x:xf>
    <x:xf numFmtId="0" fontId="11" fillId="16" borderId="0" xfId="0" applyNumberFormat="1" applyFont="1" applyFill="1" applyBorder="1" applyAlignment="1">
      <x:alignment vertical="center"/>
    </x:xf>
    <x:xf numFmtId="0" fontId="11" fillId="16" borderId="0" xfId="0" applyNumberFormat="1" applyFont="1" applyFill="1" applyBorder="1" applyAlignment="1">
      <x:alignment horizontal="center" vertical="center"/>
    </x:xf>
    <x:xf numFmtId="0" fontId="23" fillId="9" borderId="0" xfId="0" applyNumberFormat="1" applyFont="1" applyFill="1" applyBorder="1" applyAlignment="1">
      <x:alignment vertical="center"/>
    </x:xf>
    <x:xf numFmtId="200" fontId="23" fillId="9" borderId="0" xfId="0" applyNumberFormat="1" applyFont="1" applyFill="1" applyBorder="1" applyAlignment="1">
      <x:alignment vertical="center"/>
    </x:xf>
    <x:xf numFmtId="0" fontId="24" fillId="9" borderId="0" xfId="0" applyNumberFormat="1" applyFont="1" applyFill="1" applyBorder="1" applyAlignment="1">
      <x:alignment vertical="center"/>
    </x:xf>
    <x:xf numFmtId="201" fontId="24" fillId="9" borderId="0" xfId="0" applyNumberFormat="1" applyFont="1" applyFill="1" applyBorder="1" applyAlignment="1">
      <x:alignment vertical="center"/>
    </x:xf>
    <x:xf numFmtId="201" fontId="24" fillId="9" borderId="0" xfId="0" applyNumberFormat="1" applyFont="1" applyFill="1" applyBorder="1" applyAlignment="1">
      <x:alignment horizontal="right" vertical="center"/>
    </x:xf>
    <x:xf numFmtId="0" fontId="5" fillId="17" borderId="0" xfId="0" applyNumberFormat="1" applyFont="1" applyFill="1" applyBorder="1" applyAlignment="1">
      <x:alignment vertical="center"/>
    </x:xf>
    <x:xf numFmtId="0" fontId="25" fillId="17" borderId="0" xfId="0" applyNumberFormat="1" applyFont="1" applyFill="1" applyBorder="1" applyAlignment="1">
      <x:alignment vertical="center"/>
    </x:xf>
    <x:xf numFmtId="0" fontId="25" fillId="17" borderId="0" xfId="0" applyNumberFormat="1" applyFont="1" applyFill="1" applyBorder="1" applyAlignment="1">
      <x:alignment vertical="center" wrapText="1"/>
    </x:xf>
    <x:xf numFmtId="0" fontId="11" fillId="4" borderId="0" xfId="0" applyNumberFormat="1" applyFont="1" applyFill="1" applyBorder="1" applyAlignment="1">
      <x:alignment vertical="center"/>
    </x:xf>
    <x:xf numFmtId="0" fontId="11" fillId="4" borderId="0" xfId="0" applyNumberFormat="1" applyFont="1" applyFill="1" applyBorder="1" applyAlignment="1">
      <x:alignment horizontal="center" vertical="center"/>
    </x:xf>
    <x:xf numFmtId="0" fontId="26" fillId="9" borderId="0" xfId="0" applyNumberFormat="1" applyFont="1" applyFill="1" applyBorder="1" applyAlignment="1">
      <x:alignment vertical="center"/>
    </x:xf>
    <x:xf numFmtId="200" fontId="26" fillId="9" borderId="0" xfId="0" applyNumberFormat="1" applyFont="1" applyFill="1" applyBorder="1" applyAlignment="1">
      <x:alignment vertical="center"/>
    </x:xf>
    <x:xf numFmtId="0" fontId="27" fillId="9" borderId="0" xfId="0" applyNumberFormat="1" applyFont="1" applyFill="1" applyBorder="1" applyAlignment="1">
      <x:alignment vertical="center"/>
    </x:xf>
    <x:xf numFmtId="201" fontId="27" fillId="9" borderId="0" xfId="0" applyNumberFormat="1" applyFont="1" applyFill="1" applyBorder="1" applyAlignment="1">
      <x:alignment vertical="center"/>
    </x:xf>
    <x:xf numFmtId="201" fontId="27" fillId="9" borderId="0" xfId="0" applyNumberFormat="1" applyFont="1" applyFill="1" applyBorder="1" applyAlignment="1">
      <x:alignment horizontal="right" vertical="center"/>
    </x:xf>
    <x:xf numFmtId="0" fontId="28" fillId="6" borderId="0" xfId="0" applyNumberFormat="1" applyFont="1" applyFill="1" applyBorder="1" applyAlignment="1">
      <x:alignment vertical="center"/>
    </x:xf>
    <x:xf numFmtId="0" fontId="28" fillId="6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/>
    </x:xf>
    <x:xf numFmtId="0" fontId="29" fillId="3" borderId="0" xfId="0" applyNumberFormat="1" applyFont="1" applyFill="1" applyBorder="1" applyAlignment="1">
      <x:alignment vertical="center"/>
    </x:xf>
    <x:xf numFmtId="0" fontId="29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a15a4762b24266" /><Relationship Type="http://schemas.openxmlformats.org/officeDocument/2006/relationships/theme" Target="/xl/theme/theme1.xml" Id="Re7adea0b041d46d2" /><Relationship Type="http://schemas.openxmlformats.org/officeDocument/2006/relationships/sharedStrings" Target="/xl/sharedStrings.xml" Id="Ra6b805946c5541a8" /><Relationship Type="http://schemas.openxmlformats.org/officeDocument/2006/relationships/worksheet" Target="/xl/worksheets/sheet1.xml" Id="Ra262efc6f8714507" /><Relationship Type="http://schemas.openxmlformats.org/officeDocument/2006/relationships/worksheet" Target="/xl/worksheets/sheet2.xml" Id="R71b121f4e516433b" /></Relationships>
</file>

<file path=xl/tables/table1.xml><?xml version="1.0" encoding="utf-8"?>
<x:table xmlns:x="http://schemas.openxmlformats.org/spreadsheetml/2006/main" id="1" name="HarborDealsTable" displayName="HarborDealsTable" ref="A4:I14" headerRowCount="1" totalsRowCount="0" totalsRowShown="0">
  <x:tableColumns count="9">
    <x:tableColumn id="1" name="Account"/>
    <x:tableColumn id="2" name="Segment"/>
    <x:tableColumn id="3" name="Stage"/>
    <x:tableColumn id="4" name="Owner"/>
    <x:tableColumn id="5" name="Value"/>
    <x:tableColumn id="6" name="Win probability"/>
    <x:tableColumn id="7" name="Close date"/>
    <x:tableColumn id="8" name="Next action"/>
    <x:tableColumn id="9" name="Weighted value"/>
  </x:tableColumns>
  <x:tableStyleInfo name="TableStyleMedium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68078201e1407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80000686645508" hidden="0" customWidth="1"/>
    <x:col min="2" max="2" width="11.109999656677246" hidden="0" customWidth="1"/>
    <x:col min="3" max="3" width="11.670000076293945" hidden="0" customWidth="1"/>
    <x:col min="4" max="4" width="10" hidden="0" customWidth="1"/>
    <x:col min="5" max="5" width="11.109999656677246" hidden="0" customWidth="1"/>
    <x:col min="6" max="6" width="11.109999656677246" hidden="0" customWidth="1"/>
    <x:col min="7" max="7" width="10.5600004196167" hidden="0" customWidth="1"/>
    <x:col min="8" max="8" width="21.110000610351562" hidden="0" customWidth="1"/>
    <x:col min="9" max="9" width="12.779999732971191" hidden="0" customWidth="1"/>
  </x:cols>
  <x:sheetData>
    <x:row r="1" ht="24" customHeight="1">
      <x:c r="A1" s="3" t="str">
        <x:v>Harbor CRM — Deal Register</x:v>
      </x:c>
      <x:c r="B1" s="3"/>
      <x:c r="C1" s="3"/>
      <x:c r="D1" s="3"/>
      <x:c r="E1" s="3"/>
      <x:c r="F1" s="3"/>
      <x:c r="G1" s="3"/>
      <x:c r="H1" s="3"/>
      <x:c r="I1" s="3"/>
    </x:row>
    <x:row r="2" ht="24" customHeight="1">
      <x:c r="A2" s="3"/>
      <x:c r="B2" s="3"/>
      <x:c r="C2" s="3"/>
      <x:c r="D2" s="3"/>
      <x:c r="E2" s="3"/>
      <x:c r="F2" s="3"/>
      <x:c r="G2" s="3"/>
      <x:c r="H2" s="3"/>
      <x:c r="I2" s="3"/>
    </x:row>
    <x:row r="3" ht="18.75" customHeight="1">
      <x:c r="A3" s="5" t="str">
        <x:v>Edit deal stage, value, probability, owner, and next action; the board updates from these cells.</x:v>
      </x:c>
      <x:c r="B3" s="5"/>
      <x:c r="C3" s="5"/>
      <x:c r="D3" s="5"/>
      <x:c r="E3" s="5"/>
      <x:c r="F3" s="5"/>
      <x:c r="G3" s="5"/>
      <x:c r="H3" s="5"/>
      <x:c r="I3" s="5"/>
    </x:row>
    <x:row r="4" ht="22.5" customHeight="1">
      <x:c r="A4" s="7" t="str">
        <x:v>Account</x:v>
      </x:c>
      <x:c r="B4" s="7" t="str">
        <x:v>Segment</x:v>
      </x:c>
      <x:c r="C4" s="7" t="str">
        <x:v>Stage</x:v>
      </x:c>
      <x:c r="D4" s="7" t="str">
        <x:v>Owner</x:v>
      </x:c>
      <x:c r="E4" s="7" t="str">
        <x:v>Value</x:v>
      </x:c>
      <x:c r="F4" s="7" t="str">
        <x:v>Win probability</x:v>
      </x:c>
      <x:c r="G4" s="7" t="str">
        <x:v>Close date</x:v>
      </x:c>
      <x:c r="H4" s="7" t="str">
        <x:v>Next action</x:v>
      </x:c>
      <x:c r="I4" s="7" t="str">
        <x:v>Weighted value</x:v>
      </x:c>
    </x:row>
    <x:row r="5" ht="21" customHeight="1">
      <x:c r="A5" s="8" t="str">
        <x:v>Lumen Labs</x:v>
      </x:c>
      <x:c r="B5" s="8" t="str">
        <x:v>Startup</x:v>
      </x:c>
      <x:c r="C5" s="8" t="str">
        <x:v>New lead</x:v>
      </x:c>
      <x:c r="D5" s="8" t="str">
        <x:v>Olivia</x:v>
      </x:c>
      <x:c r="E5" s="12" t="n">
        <x:v>18000</x:v>
      </x:c>
      <x:c r="F5" s="13" t="n">
        <x:v>0.15</x:v>
      </x:c>
      <x:c r="G5" s="14" t="n">
        <x:v>46303</x:v>
      </x:c>
      <x:c r="H5" s="8" t="str">
        <x:v>Book discovery</x:v>
      </x:c>
      <x:c r="I5" s="11" t="n">
        <x:f>E5*F5</x:f>
        <x:v>2700</x:v>
      </x:c>
    </x:row>
    <x:row r="6" ht="21" customHeight="1">
      <x:c r="A6" s="8" t="str">
        <x:v>Parkside Studio</x:v>
      </x:c>
      <x:c r="B6" s="8" t="str">
        <x:v>Agency</x:v>
      </x:c>
      <x:c r="C6" s="8" t="str">
        <x:v>New lead</x:v>
      </x:c>
      <x:c r="D6" s="8" t="str">
        <x:v>Chen</x:v>
      </x:c>
      <x:c r="E6" s="12" t="n">
        <x:v>12000</x:v>
      </x:c>
      <x:c r="F6" s="13" t="n">
        <x:v>0.2</x:v>
      </x:c>
      <x:c r="G6" s="14" t="n">
        <x:v>46307</x:v>
      </x:c>
      <x:c r="H6" s="8" t="str">
        <x:v>Confirm budget</x:v>
      </x:c>
      <x:c r="I6" s="11" t="n">
        <x:f>E6*F6</x:f>
        <x:v>2400</x:v>
      </x:c>
    </x:row>
    <x:row r="7" ht="21" customHeight="1">
      <x:c r="A7" s="8" t="str">
        <x:v>Northwind Health</x:v>
      </x:c>
      <x:c r="B7" s="8" t="str">
        <x:v>Mid-market</x:v>
      </x:c>
      <x:c r="C7" s="8" t="str">
        <x:v>Qualified</x:v>
      </x:c>
      <x:c r="D7" s="8" t="str">
        <x:v>Marcus</x:v>
      </x:c>
      <x:c r="E7" s="12" t="n">
        <x:v>42000</x:v>
      </x:c>
      <x:c r="F7" s="13" t="n">
        <x:v>0.35</x:v>
      </x:c>
      <x:c r="G7" s="14" t="n">
        <x:v>46310</x:v>
      </x:c>
      <x:c r="H7" s="8" t="str">
        <x:v>Map stakeholders</x:v>
      </x:c>
      <x:c r="I7" s="11" t="n">
        <x:f>E7*F7</x:f>
        <x:v>14699.999999999998</x:v>
      </x:c>
    </x:row>
    <x:row r="8" ht="21" customHeight="1">
      <x:c r="A8" s="8" t="str">
        <x:v>Copperline Media</x:v>
      </x:c>
      <x:c r="B8" s="8" t="str">
        <x:v>Agency</x:v>
      </x:c>
      <x:c r="C8" s="8" t="str">
        <x:v>Qualified</x:v>
      </x:c>
      <x:c r="D8" s="8" t="str">
        <x:v>Sofia</x:v>
      </x:c>
      <x:c r="E8" s="12" t="n">
        <x:v>28000</x:v>
      </x:c>
      <x:c r="F8" s="13" t="n">
        <x:v>0.4</x:v>
      </x:c>
      <x:c r="G8" s="14" t="n">
        <x:v>46313</x:v>
      </x:c>
      <x:c r="H8" s="8" t="str">
        <x:v>Send security deck</x:v>
      </x:c>
      <x:c r="I8" s="11" t="n">
        <x:f>E8*F8</x:f>
        <x:v>11200</x:v>
      </x:c>
    </x:row>
    <x:row r="9" ht="21" customHeight="1">
      <x:c r="A9" s="8" t="str">
        <x:v>Clearwater Foods</x:v>
      </x:c>
      <x:c r="B9" s="8" t="str">
        <x:v>Enterprise</x:v>
      </x:c>
      <x:c r="C9" s="8" t="str">
        <x:v>Demo</x:v>
      </x:c>
      <x:c r="D9" s="8" t="str">
        <x:v>Olivia</x:v>
      </x:c>
      <x:c r="E9" s="12" t="n">
        <x:v>76000</x:v>
      </x:c>
      <x:c r="F9" s="13" t="n">
        <x:v>0.55</x:v>
      </x:c>
      <x:c r="G9" s="14" t="n">
        <x:v>46328</x:v>
      </x:c>
      <x:c r="H9" s="8" t="str">
        <x:v>Tailored demo</x:v>
      </x:c>
      <x:c r="I9" s="11" t="n">
        <x:f>E9*F9</x:f>
        <x:v>41800</x:v>
      </x:c>
    </x:row>
    <x:row r="10" ht="21" customHeight="1">
      <x:c r="A10" s="8" t="str">
        <x:v>Summit Freight</x:v>
      </x:c>
      <x:c r="B10" s="8" t="str">
        <x:v>Mid-market</x:v>
      </x:c>
      <x:c r="C10" s="8" t="str">
        <x:v>Demo</x:v>
      </x:c>
      <x:c r="D10" s="8" t="str">
        <x:v>Jon</x:v>
      </x:c>
      <x:c r="E10" s="12" t="n">
        <x:v>54000</x:v>
      </x:c>
      <x:c r="F10" s="13" t="n">
        <x:v>0.5</x:v>
      </x:c>
      <x:c r="G10" s="14" t="n">
        <x:v>46332</x:v>
      </x:c>
      <x:c r="H10" s="8" t="str">
        <x:v>Technical review</x:v>
      </x:c>
      <x:c r="I10" s="11" t="n">
        <x:f>E10*F10</x:f>
        <x:v>27000</x:v>
      </x:c>
    </x:row>
    <x:row r="11" ht="21" customHeight="1">
      <x:c r="A11" s="8" t="str">
        <x:v>Arbor Systems</x:v>
      </x:c>
      <x:c r="B11" s="8" t="str">
        <x:v>Enterprise</x:v>
      </x:c>
      <x:c r="C11" s="8" t="str">
        <x:v>Proposal</x:v>
      </x:c>
      <x:c r="D11" s="8" t="str">
        <x:v>Marcus</x:v>
      </x:c>
      <x:c r="E11" s="12" t="n">
        <x:v>95000</x:v>
      </x:c>
      <x:c r="F11" s="13" t="n">
        <x:v>0.68</x:v>
      </x:c>
      <x:c r="G11" s="14" t="n">
        <x:v>46338</x:v>
      </x:c>
      <x:c r="H11" s="8" t="str">
        <x:v>Review pricing</x:v>
      </x:c>
      <x:c r="I11" s="11" t="n">
        <x:f>E11*F11</x:f>
        <x:v>64600.00000000001</x:v>
      </x:c>
    </x:row>
    <x:row r="12" ht="21" customHeight="1">
      <x:c r="A12" s="8" t="str">
        <x:v>Bluebird Capital</x:v>
      </x:c>
      <x:c r="B12" s="8" t="str">
        <x:v>Enterprise</x:v>
      </x:c>
      <x:c r="C12" s="8" t="str">
        <x:v>Proposal</x:v>
      </x:c>
      <x:c r="D12" s="8" t="str">
        <x:v>Amara</x:v>
      </x:c>
      <x:c r="E12" s="12" t="n">
        <x:v>68000</x:v>
      </x:c>
      <x:c r="F12" s="13" t="n">
        <x:v>0.72</x:v>
      </x:c>
      <x:c r="G12" s="14" t="n">
        <x:v>46341</x:v>
      </x:c>
      <x:c r="H12" s="8" t="str">
        <x:v>Legal redlines</x:v>
      </x:c>
      <x:c r="I12" s="11" t="n">
        <x:f>E12*F12</x:f>
        <x:v>48960</x:v>
      </x:c>
    </x:row>
    <x:row r="13" ht="21" customHeight="1">
      <x:c r="A13" s="8" t="str">
        <x:v>Nexo Commerce</x:v>
      </x:c>
      <x:c r="B13" s="8" t="str">
        <x:v>Enterprise</x:v>
      </x:c>
      <x:c r="C13" s="8" t="str">
        <x:v>Negotiation</x:v>
      </x:c>
      <x:c r="D13" s="8" t="str">
        <x:v>Chen</x:v>
      </x:c>
      <x:c r="E13" s="12" t="n">
        <x:v>135000</x:v>
      </x:c>
      <x:c r="F13" s="13" t="n">
        <x:v>0.82</x:v>
      </x:c>
      <x:c r="G13" s="14" t="n">
        <x:v>46346</x:v>
      </x:c>
      <x:c r="H13" s="8" t="str">
        <x:v>Executive sponsor</x:v>
      </x:c>
      <x:c r="I13" s="11" t="n">
        <x:f>E13*F13</x:f>
        <x:v>110700</x:v>
      </x:c>
    </x:row>
    <x:row r="14" ht="21" customHeight="1">
      <x:c r="A14" s="8" t="str">
        <x:v>Fieldstone Energy</x:v>
      </x:c>
      <x:c r="B14" s="8" t="str">
        <x:v>Enterprise</x:v>
      </x:c>
      <x:c r="C14" s="8" t="str">
        <x:v>Negotiation</x:v>
      </x:c>
      <x:c r="D14" s="8" t="str">
        <x:v>Sofia</x:v>
      </x:c>
      <x:c r="E14" s="12" t="n">
        <x:v>110000</x:v>
      </x:c>
      <x:c r="F14" s="13" t="n">
        <x:v>0.78</x:v>
      </x:c>
      <x:c r="G14" s="14" t="n">
        <x:v>46351</x:v>
      </x:c>
      <x:c r="H14" s="8" t="str">
        <x:v>Procurement close</x:v>
      </x:c>
      <x:c r="I14" s="11" t="n">
        <x:f>E14*F14</x:f>
        <x:v>85800</x:v>
      </x:c>
    </x:row>
  </x:sheetData>
  <x:mergeCells>
    <x:mergeCell ref="A1:I2"/>
    <x:mergeCell ref="A3:I3"/>
  </x:mergeCells>
  <x:dataValidations count="2">
    <x:dataValidation type="list" sqref="C5:C40">
      <x:formula1>"New lead,Qualified,Demo,Proposal,Negotiation,Won,Stalled"</x:formula1>
    </x:dataValidation>
    <x:dataValidation type="list" sqref="D5:D40">
      <x:formula1>"Olivia,Marcus,Chen,Sofia,Jon,Amara"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d68078201e1407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779999732971191" hidden="0" customWidth="1"/>
    <x:col min="2" max="2" width="9.779999732971191" hidden="0" customWidth="1"/>
    <x:col min="3" max="3" width="9.779999732971191" hidden="0" customWidth="1"/>
    <x:col min="4" max="4" width="9.779999732971191" hidden="0" customWidth="1"/>
    <x:col min="5" max="5" width="9.779999732971191" hidden="0" customWidth="1"/>
    <x:col min="6" max="6" width="9.779999732971191" hidden="0" customWidth="1"/>
    <x:col min="7" max="7" width="9.779999732971191" hidden="0" customWidth="1"/>
    <x:col min="8" max="8" width="9.779999732971191" hidden="0" customWidth="1"/>
    <x:col min="9" max="9" width="9.779999732971191" hidden="0" customWidth="1"/>
    <x:col min="10" max="10" width="9.779999732971191" hidden="0" customWidth="1"/>
    <x:col min="11" max="11" width="9.779999732971191" hidden="0" customWidth="1"/>
    <x:col min="12" max="12" width="9.779999732971191" hidden="0" customWidth="1"/>
    <x:col min="13" max="13" width="9.779999732971191" hidden="0" customWidth="1"/>
    <x:col min="14" max="14" width="9.779999732971191" hidden="0" customWidth="1"/>
    <x:col min="15" max="15" width="9.779999732971191" hidden="0" customWidth="1"/>
  </x:cols>
  <x:sheetData>
    <x:row r="1" ht="25.5" customHeight="1">
      <x:c r="A1" s="19" t="str">
        <x:v>Harbor CRM &amp; Sales Pipeline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</x:row>
    <x:row r="2" ht="22.5" customHeight="1">
      <x:c r="A2" s="19"/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</x:row>
    <x:row r="3" ht="18" customHeight="1">
      <x:c r="A3" s="21" t="str">
        <x:v>KANBAN PIPELINE · ONE SOURCE OF TRUTH FOR DEAL VALUE, OWNERS, CLOSE DATES, AND NEXT ACTIONS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</x:row>
    <x:row r="4" ht="16.5" customHeight="1">
      <x:c r="A4" s="24" t="str">
        <x:v>OPEN PIPELINE</x:v>
      </x:c>
      <x:c r="B4" s="24"/>
      <x:c r="C4" s="24"/>
      <x:c r="D4" s="24" t="str">
        <x:v>WEIGHTED</x:v>
      </x:c>
      <x:c r="E4" s="24"/>
      <x:c r="F4" s="24"/>
      <x:c r="G4" s="24" t="str">
        <x:v>AVG DEAL</x:v>
      </x:c>
      <x:c r="H4" s="24"/>
      <x:c r="I4" s="24"/>
      <x:c r="J4" s="24" t="str">
        <x:v>CLOSE THIS MONTH</x:v>
      </x:c>
      <x:c r="K4" s="24"/>
      <x:c r="L4" s="24"/>
      <x:c r="M4" s="59" t="str">
        <x:v>FOCUS
Move Arbor and Bluebird through proposal review this week.</x:v>
      </x:c>
      <x:c r="N4" s="59"/>
      <x:c r="O4" s="59"/>
    </x:row>
    <x:row r="5" ht="25.5" customHeight="1">
      <x:c r="A5" s="39" t="n">
        <x:f>SUM('Deals'!$E$5:$E$14)</x:f>
        <x:v>638000</x:v>
      </x:c>
      <x:c r="B5" s="40"/>
      <x:c r="C5" s="41"/>
      <x:c r="D5" s="39" t="n">
        <x:f>SUM('Deals'!$I$5:$I$14)</x:f>
        <x:v>409860</x:v>
      </x:c>
      <x:c r="E5" s="40"/>
      <x:c r="F5" s="41"/>
      <x:c r="G5" s="39" t="n">
        <x:f>AVERAGE('Deals'!$E$5:$E$14)</x:f>
        <x:v>63800</x:v>
      </x:c>
      <x:c r="H5" s="40"/>
      <x:c r="I5" s="41"/>
      <x:c r="J5" s="51" t="n">
        <x:f>COUNTIF('Deals'!$G$5:$G$14,"&lt;"&amp;DATE(2026,12,1))</x:f>
        <x:v>10</x:v>
      </x:c>
      <x:c r="K5" s="52"/>
      <x:c r="L5" s="53"/>
      <x:c r="M5" s="59"/>
      <x:c r="N5" s="59"/>
      <x:c r="O5" s="59"/>
    </x:row>
    <x:row r="6" ht="25.5" customHeight="1">
      <x:c r="A6" s="42"/>
      <x:c r="B6" s="43"/>
      <x:c r="C6" s="44"/>
      <x:c r="D6" s="42"/>
      <x:c r="E6" s="43"/>
      <x:c r="F6" s="44"/>
      <x:c r="G6" s="42"/>
      <x:c r="H6" s="43"/>
      <x:c r="I6" s="44"/>
      <x:c r="J6" s="54"/>
      <x:c r="K6" s="55"/>
      <x:c r="L6" s="56"/>
      <x:c r="M6" s="59"/>
      <x:c r="N6" s="59"/>
      <x:c r="O6" s="59"/>
    </x:row>
    <x:row r="7" ht="10.5" customHeight="1">
      <x:c r="A7" s="17"/>
      <x:c r="B7" s="17"/>
      <x:c r="C7" s="17"/>
      <x:c r="D7" s="17"/>
      <x:c r="E7" s="17"/>
      <x:c r="F7" s="17"/>
      <x:c r="G7" s="17"/>
      <x:c r="H7" s="17"/>
      <x:c r="I7" s="17"/>
      <x:c r="J7" s="17"/>
      <x:c r="K7" s="17"/>
      <x:c r="L7" s="17"/>
      <x:c r="M7" s="17"/>
      <x:c r="N7" s="17"/>
      <x:c r="O7" s="17"/>
    </x:row>
    <x:row r="8" ht="22.5" customHeight="1">
      <x:c r="A8" s="62" t="str">
        <x:f>"NEW LEAD · "&amp;COUNTIF('Deals'!$C$5:$C$14,"New lead")</x:f>
        <x:v>NEW LEAD · 2</x:v>
      </x:c>
      <x:c r="B8" s="62"/>
      <x:c r="C8" s="62"/>
      <x:c r="D8" s="75" t="str">
        <x:f>"QUALIFIED · "&amp;COUNTIF('Deals'!$C$5:$C$14,"Qualified")</x:f>
        <x:v>QUALIFIED · 2</x:v>
      </x:c>
      <x:c r="E8" s="75"/>
      <x:c r="F8" s="75"/>
      <x:c r="G8" s="86" t="str">
        <x:f>"DEMO · "&amp;COUNTIF('Deals'!$C$5:$C$14,"Demo")</x:f>
        <x:v>DEMO · 2</x:v>
      </x:c>
      <x:c r="H8" s="86"/>
      <x:c r="I8" s="86"/>
      <x:c r="J8" s="96" t="str">
        <x:f>"PROPOSAL · "&amp;COUNTIF('Deals'!$C$5:$C$14,"Proposal")</x:f>
        <x:v>PROPOSAL · 2</x:v>
      </x:c>
      <x:c r="K8" s="96"/>
      <x:c r="L8" s="96"/>
      <x:c r="M8" s="106" t="str">
        <x:f>"NEGOTIATION · "&amp;COUNTIF('Deals'!$C$5:$C$14,"Negotiation")</x:f>
        <x:v>NEGOTIATION · 2</x:v>
      </x:c>
      <x:c r="N8" s="106"/>
      <x:c r="O8" s="106"/>
    </x:row>
    <x:row r="9">
      <x:c r="A9" s="63" t="str">
        <x:f>'Deals'!A5</x:f>
        <x:v>Lumen Labs</x:v>
      </x:c>
      <x:c r="B9" s="63"/>
      <x:c r="C9" s="63"/>
      <x:c r="D9" s="63" t="str">
        <x:f>'Deals'!A7</x:f>
        <x:v>Northwind Health</x:v>
      </x:c>
      <x:c r="E9" s="63"/>
      <x:c r="F9" s="63"/>
      <x:c r="G9" s="63" t="str">
        <x:f>'Deals'!A9</x:f>
        <x:v>Clearwater Foods</x:v>
      </x:c>
      <x:c r="H9" s="63"/>
      <x:c r="I9" s="63"/>
      <x:c r="J9" s="63" t="str">
        <x:f>'Deals'!A11</x:f>
        <x:v>Arbor Systems</x:v>
      </x:c>
      <x:c r="K9" s="63"/>
      <x:c r="L9" s="63"/>
      <x:c r="M9" s="63" t="str">
        <x:f>'Deals'!A13</x:f>
        <x:v>Nexo Commerce</x:v>
      </x:c>
      <x:c r="N9" s="63"/>
      <x:c r="O9" s="63"/>
    </x:row>
    <x:row r="10">
      <x:c r="A10" s="65" t="n">
        <x:f>'Deals'!E5</x:f>
        <x:v>18000</x:v>
      </x:c>
      <x:c r="B10" s="65"/>
      <x:c r="C10" s="68" t="n">
        <x:f>'Deals'!F5</x:f>
        <x:v>0.15</x:v>
      </x:c>
      <x:c r="D10" s="77" t="n">
        <x:f>'Deals'!E7</x:f>
        <x:v>42000</x:v>
      </x:c>
      <x:c r="E10" s="77"/>
      <x:c r="F10" s="80" t="n">
        <x:f>'Deals'!F7</x:f>
        <x:v>0.35</x:v>
      </x:c>
      <x:c r="G10" s="88" t="n">
        <x:f>'Deals'!E9</x:f>
        <x:v>76000</x:v>
      </x:c>
      <x:c r="H10" s="88"/>
      <x:c r="I10" s="91" t="n">
        <x:f>'Deals'!F9</x:f>
        <x:v>0.55</x:v>
      </x:c>
      <x:c r="J10" s="98" t="n">
        <x:f>'Deals'!E11</x:f>
        <x:v>95000</x:v>
      </x:c>
      <x:c r="K10" s="98"/>
      <x:c r="L10" s="101" t="n">
        <x:f>'Deals'!F11</x:f>
        <x:v>0.68</x:v>
      </x:c>
      <x:c r="M10" s="108" t="n">
        <x:f>'Deals'!E13</x:f>
        <x:v>135000</x:v>
      </x:c>
      <x:c r="N10" s="108"/>
      <x:c r="O10" s="111" t="n">
        <x:f>'Deals'!F13</x:f>
        <x:v>0.82</x:v>
      </x:c>
    </x:row>
    <x:row r="11">
      <x:c r="A11" s="71" t="str">
        <x:f>'Deals'!H5</x:f>
        <x:v>Book discovery</x:v>
      </x:c>
      <x:c r="B11" s="71"/>
      <x:c r="C11" s="71"/>
      <x:c r="D11" s="83" t="str">
        <x:f>'Deals'!H7</x:f>
        <x:v>Map stakeholders</x:v>
      </x:c>
      <x:c r="E11" s="83"/>
      <x:c r="F11" s="83"/>
      <x:c r="G11" s="93" t="str">
        <x:f>'Deals'!H9</x:f>
        <x:v>Tailored demo</x:v>
      </x:c>
      <x:c r="H11" s="93"/>
      <x:c r="I11" s="93"/>
      <x:c r="J11" s="104" t="str">
        <x:f>'Deals'!H11</x:f>
        <x:v>Review pricing</x:v>
      </x:c>
      <x:c r="K11" s="104"/>
      <x:c r="L11" s="104"/>
      <x:c r="M11" s="113" t="str">
        <x:f>'Deals'!H13</x:f>
        <x:v>Executive sponsor</x:v>
      </x:c>
      <x:c r="N11" s="113"/>
      <x:c r="O11" s="113"/>
    </x:row>
    <x:row r="12">
      <x:c r="A12" s="72" t="str">
        <x:f>"Owner · "&amp;'Deals'!D5&amp;"   Close · "&amp;TEXT('Deals'!G5,"mmm d")</x:f>
        <x:v>Owner · Olivia   Close · Oct 8</x:v>
      </x:c>
      <x:c r="B12" s="72"/>
      <x:c r="C12" s="72"/>
      <x:c r="D12" s="72" t="str">
        <x:f>"Owner · "&amp;'Deals'!D7&amp;"   Close · "&amp;TEXT('Deals'!G7,"mmm d")</x:f>
        <x:v>Owner · Marcus   Close · Oct 15</x:v>
      </x:c>
      <x:c r="E12" s="72"/>
      <x:c r="F12" s="72"/>
      <x:c r="G12" s="72" t="str">
        <x:f>"Owner · "&amp;'Deals'!D9&amp;"   Close · "&amp;TEXT('Deals'!G9,"mmm d")</x:f>
        <x:v>Owner · Olivia   Close · Nov 2</x:v>
      </x:c>
      <x:c r="H12" s="72"/>
      <x:c r="I12" s="72"/>
      <x:c r="J12" s="72" t="str">
        <x:f>"Owner · "&amp;'Deals'!D11&amp;"   Close · "&amp;TEXT('Deals'!G11,"mmm d")</x:f>
        <x:v>Owner · Marcus   Close · Nov 12</x:v>
      </x:c>
      <x:c r="K12" s="72"/>
      <x:c r="L12" s="72"/>
      <x:c r="M12" s="72" t="str">
        <x:f>"Owner · "&amp;'Deals'!D13&amp;"   Close · "&amp;TEXT('Deals'!G13,"mmm d")</x:f>
        <x:v>Owner · Chen   Close · Nov 20</x:v>
      </x:c>
      <x:c r="N12" s="72"/>
      <x:c r="O12" s="72"/>
    </x:row>
    <x:row r="13">
      <x:c r="A13" s="17"/>
      <x:c r="B13" s="17"/>
      <x:c r="C13" s="17"/>
      <x:c r="D13" s="17"/>
      <x:c r="E13" s="17"/>
      <x:c r="F13" s="17"/>
      <x:c r="G13" s="17"/>
      <x:c r="H13" s="17"/>
      <x:c r="I13" s="17"/>
      <x:c r="J13" s="17"/>
      <x:c r="K13" s="17"/>
      <x:c r="L13" s="17"/>
      <x:c r="M13" s="17"/>
      <x:c r="N13" s="17"/>
      <x:c r="O13" s="17"/>
    </x:row>
    <x:row r="14">
      <x:c r="A14" s="63" t="str">
        <x:f>'Deals'!A6</x:f>
        <x:v>Parkside Studio</x:v>
      </x:c>
      <x:c r="B14" s="63"/>
      <x:c r="C14" s="63"/>
      <x:c r="D14" s="63" t="str">
        <x:f>'Deals'!A8</x:f>
        <x:v>Copperline Media</x:v>
      </x:c>
      <x:c r="E14" s="63"/>
      <x:c r="F14" s="63"/>
      <x:c r="G14" s="63" t="str">
        <x:f>'Deals'!A10</x:f>
        <x:v>Summit Freight</x:v>
      </x:c>
      <x:c r="H14" s="63"/>
      <x:c r="I14" s="63"/>
      <x:c r="J14" s="63" t="str">
        <x:f>'Deals'!A12</x:f>
        <x:v>Bluebird Capital</x:v>
      </x:c>
      <x:c r="K14" s="63"/>
      <x:c r="L14" s="63"/>
      <x:c r="M14" s="63" t="str">
        <x:f>'Deals'!A14</x:f>
        <x:v>Fieldstone Energy</x:v>
      </x:c>
      <x:c r="N14" s="63"/>
      <x:c r="O14" s="63"/>
    </x:row>
    <x:row r="15">
      <x:c r="A15" s="65" t="n">
        <x:f>'Deals'!E6</x:f>
        <x:v>12000</x:v>
      </x:c>
      <x:c r="B15" s="65"/>
      <x:c r="C15" s="68" t="n">
        <x:f>'Deals'!F6</x:f>
        <x:v>0.2</x:v>
      </x:c>
      <x:c r="D15" s="77" t="n">
        <x:f>'Deals'!E8</x:f>
        <x:v>28000</x:v>
      </x:c>
      <x:c r="E15" s="77"/>
      <x:c r="F15" s="80" t="n">
        <x:f>'Deals'!F8</x:f>
        <x:v>0.4</x:v>
      </x:c>
      <x:c r="G15" s="88" t="n">
        <x:f>'Deals'!E10</x:f>
        <x:v>54000</x:v>
      </x:c>
      <x:c r="H15" s="88"/>
      <x:c r="I15" s="91" t="n">
        <x:f>'Deals'!F10</x:f>
        <x:v>0.5</x:v>
      </x:c>
      <x:c r="J15" s="98" t="n">
        <x:f>'Deals'!E12</x:f>
        <x:v>68000</x:v>
      </x:c>
      <x:c r="K15" s="98"/>
      <x:c r="L15" s="101" t="n">
        <x:f>'Deals'!F12</x:f>
        <x:v>0.72</x:v>
      </x:c>
      <x:c r="M15" s="108" t="n">
        <x:f>'Deals'!E14</x:f>
        <x:v>110000</x:v>
      </x:c>
      <x:c r="N15" s="108"/>
      <x:c r="O15" s="111" t="n">
        <x:f>'Deals'!F14</x:f>
        <x:v>0.78</x:v>
      </x:c>
    </x:row>
    <x:row r="16">
      <x:c r="A16" s="71" t="str">
        <x:f>'Deals'!H6</x:f>
        <x:v>Confirm budget</x:v>
      </x:c>
      <x:c r="B16" s="71"/>
      <x:c r="C16" s="71"/>
      <x:c r="D16" s="83" t="str">
        <x:f>'Deals'!H8</x:f>
        <x:v>Send security deck</x:v>
      </x:c>
      <x:c r="E16" s="83"/>
      <x:c r="F16" s="83"/>
      <x:c r="G16" s="93" t="str">
        <x:f>'Deals'!H10</x:f>
        <x:v>Technical review</x:v>
      </x:c>
      <x:c r="H16" s="93"/>
      <x:c r="I16" s="93"/>
      <x:c r="J16" s="104" t="str">
        <x:f>'Deals'!H12</x:f>
        <x:v>Legal redlines</x:v>
      </x:c>
      <x:c r="K16" s="104"/>
      <x:c r="L16" s="104"/>
      <x:c r="M16" s="113" t="str">
        <x:f>'Deals'!H14</x:f>
        <x:v>Procurement close</x:v>
      </x:c>
      <x:c r="N16" s="113"/>
      <x:c r="O16" s="113"/>
    </x:row>
    <x:row r="17">
      <x:c r="A17" s="72" t="str">
        <x:f>"Owner · "&amp;'Deals'!D6&amp;"   Close · "&amp;TEXT('Deals'!G6,"mmm d")</x:f>
        <x:v>Owner · Chen   Close · Oct 12</x:v>
      </x:c>
      <x:c r="B17" s="72"/>
      <x:c r="C17" s="72"/>
      <x:c r="D17" s="72" t="str">
        <x:f>"Owner · "&amp;'Deals'!D8&amp;"   Close · "&amp;TEXT('Deals'!G8,"mmm d")</x:f>
        <x:v>Owner · Sofia   Close · Oct 18</x:v>
      </x:c>
      <x:c r="E17" s="72"/>
      <x:c r="F17" s="72"/>
      <x:c r="G17" s="72" t="str">
        <x:f>"Owner · "&amp;'Deals'!D10&amp;"   Close · "&amp;TEXT('Deals'!G10,"mmm d")</x:f>
        <x:v>Owner · Jon   Close · Nov 6</x:v>
      </x:c>
      <x:c r="H17" s="72"/>
      <x:c r="I17" s="72"/>
      <x:c r="J17" s="72" t="str">
        <x:f>"Owner · "&amp;'Deals'!D12&amp;"   Close · "&amp;TEXT('Deals'!G12,"mmm d")</x:f>
        <x:v>Owner · Amara   Close · Nov 15</x:v>
      </x:c>
      <x:c r="K17" s="72"/>
      <x:c r="L17" s="72"/>
      <x:c r="M17" s="72" t="str">
        <x:f>"Owner · "&amp;'Deals'!D14&amp;"   Close · "&amp;TEXT('Deals'!G14,"mmm d")</x:f>
        <x:v>Owner · Sofia   Close · Nov 25</x:v>
      </x:c>
      <x:c r="N17" s="72"/>
      <x:c r="O17" s="72"/>
    </x:row>
    <x:row r="18">
      <x:c r="A18" s="17"/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  <x:c r="N18" s="17"/>
      <x:c r="O18" s="17"/>
    </x:row>
    <x:row r="19">
      <x:c r="A19" s="116" t="str">
        <x:v>Pipeline rule · Every deal needs an owner, next action, dated close plan, and probability grounded in stage evidence.</x:v>
      </x:c>
      <x:c r="B19" s="116"/>
      <x:c r="C19" s="116"/>
      <x:c r="D19" s="116"/>
      <x:c r="E19" s="116"/>
      <x:c r="F19" s="116"/>
      <x:c r="G19" s="116"/>
      <x:c r="H19" s="116"/>
      <x:c r="I19" s="116"/>
      <x:c r="J19" s="116"/>
      <x:c r="K19" s="116"/>
      <x:c r="L19" s="116"/>
      <x:c r="M19" s="116"/>
      <x:c r="N19" s="116"/>
      <x:c r="O19" s="116"/>
    </x:row>
    <x:row r="20">
      <x:c r="A20" s="17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  <x:c r="M20" s="17"/>
      <x:c r="N20" s="17"/>
      <x:c r="O20" s="17"/>
    </x:row>
    <x:row r="21">
      <x:c r="A21" s="17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  <x:c r="M21" s="17"/>
      <x:c r="N21" s="17"/>
      <x:c r="O21" s="17"/>
    </x:row>
    <x:row r="22">
      <x:c r="A22" s="17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  <x:c r="M22" s="17"/>
      <x:c r="N22" s="17"/>
      <x:c r="O22" s="17"/>
    </x:row>
  </x:sheetData>
  <x:mergeCells>
    <x:mergeCell ref="A1:O2"/>
    <x:mergeCell ref="A3:O3"/>
    <x:mergeCell ref="A4:C4"/>
    <x:mergeCell ref="A5:C6"/>
    <x:mergeCell ref="D4:F4"/>
    <x:mergeCell ref="D5:F6"/>
    <x:mergeCell ref="G4:I4"/>
    <x:mergeCell ref="G5:I6"/>
    <x:mergeCell ref="J4:L4"/>
    <x:mergeCell ref="J5:L6"/>
    <x:mergeCell ref="M4:O6"/>
    <x:mergeCell ref="A8:C8"/>
    <x:mergeCell ref="A9:C9"/>
    <x:mergeCell ref="A10:B10"/>
    <x:mergeCell ref="A11:C11"/>
    <x:mergeCell ref="A12:C12"/>
    <x:mergeCell ref="A14:C14"/>
    <x:mergeCell ref="A15:B15"/>
    <x:mergeCell ref="A16:C16"/>
    <x:mergeCell ref="A17:C17"/>
    <x:mergeCell ref="D8:F8"/>
    <x:mergeCell ref="D9:F9"/>
    <x:mergeCell ref="D10:E10"/>
    <x:mergeCell ref="D11:F11"/>
    <x:mergeCell ref="D12:F12"/>
    <x:mergeCell ref="D14:F14"/>
    <x:mergeCell ref="D15:E15"/>
    <x:mergeCell ref="D16:F16"/>
    <x:mergeCell ref="D17:F17"/>
    <x:mergeCell ref="G8:I8"/>
    <x:mergeCell ref="G9:I9"/>
    <x:mergeCell ref="G10:H10"/>
    <x:mergeCell ref="G11:I11"/>
    <x:mergeCell ref="G12:I12"/>
    <x:mergeCell ref="G14:I14"/>
    <x:mergeCell ref="G15:H15"/>
    <x:mergeCell ref="G16:I16"/>
    <x:mergeCell ref="G17:I17"/>
    <x:mergeCell ref="J8:L8"/>
    <x:mergeCell ref="J9:L9"/>
    <x:mergeCell ref="J10:K10"/>
    <x:mergeCell ref="J11:L11"/>
    <x:mergeCell ref="J12:L12"/>
    <x:mergeCell ref="J14:L14"/>
    <x:mergeCell ref="J15:K15"/>
    <x:mergeCell ref="J16:L16"/>
    <x:mergeCell ref="J17:L17"/>
    <x:mergeCell ref="M8:O8"/>
    <x:mergeCell ref="M9:O9"/>
    <x:mergeCell ref="M10:N10"/>
    <x:mergeCell ref="M11:O11"/>
    <x:mergeCell ref="M12:O12"/>
    <x:mergeCell ref="M14:O14"/>
    <x:mergeCell ref="M15:N15"/>
    <x:mergeCell ref="M16:O16"/>
    <x:mergeCell ref="M17:O17"/>
    <x:mergeCell ref="A19:O19"/>
  </x:mergeCells>
  <x:pageMargins left="0.7" right="0.7" top="0.75" bottom="0.75" header="0.3" footer="0.3"/>
</x:worksheet>
</file>