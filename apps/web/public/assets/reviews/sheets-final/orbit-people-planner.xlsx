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89ad16ddc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Plan" sheetId="1" r:id="R6518b40b2e594020"/>
    <x:sheet xmlns:r="http://schemas.openxmlformats.org/officeDocument/2006/relationships" name="Headcount Plan" sheetId="2" r:id="R6124a9be543b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$#,##0"/>
  </x:numFmts>
  <x:fonts count="15">
    <x:font>
      <x:sz val="11"/>
      <x:name val="Carlito"/>
    </x:font>
    <x:font>
      <x:sz val="9"/>
      <x:color rgb="FF1F2933"/>
      <x:name val="Arial"/>
    </x:font>
    <x:font>
      <x:b/>
      <x:sz val="22"/>
      <x:color rgb="FFFFFFFF"/>
      <x:name val="Arial"/>
    </x:font>
    <x:font>
      <x:b/>
      <x:sz val="9"/>
      <x:color rgb="FFFFFFFF"/>
      <x:name val="Arial"/>
    </x:font>
    <x:font>
      <x:b/>
      <x:sz val="8"/>
      <x:color rgb="FF735C7D"/>
      <x:name val="Arial"/>
    </x:font>
    <x:font>
      <x:b/>
      <x:sz val="21"/>
      <x:color rgb="FF1F2933"/>
      <x:name val="Arial"/>
    </x:font>
    <x:font>
      <x:b/>
      <x:sz val="8"/>
      <x:color rgb="FFD97A5F"/>
      <x:name val="Arial"/>
    </x:font>
    <x:font>
      <x:b/>
      <x:sz val="8"/>
      <x:color rgb="FFFFFFFF"/>
      <x:name val="Arial"/>
    </x:font>
    <x:font>
      <x:sz val="8"/>
      <x:color rgb="FF1F2933"/>
      <x:name val="Arial"/>
    </x:font>
    <x:font>
      <x:b/>
      <x:sz val="9"/>
      <x:color rgb="FF8F3D2B"/>
      <x:name val="Arial"/>
    </x:font>
    <x:font>
      <x:b/>
      <x:sz val="20"/>
      <x:color rgb="FFFFFFFF"/>
      <x:name val="Carlito"/>
    </x:font>
    <x:font>
      <x:i/>
      <x:sz val="9"/>
      <x:color rgb="FF735C7D"/>
      <x:name val="Carlito"/>
    </x:font>
    <x:font>
      <x:b/>
      <x:sz val="9"/>
      <x:color rgb="FFFFFFFF"/>
      <x:name val="Carlito"/>
    </x:font>
    <x:font>
      <x:b/>
      <x:sz val="11"/>
      <x:color rgb="FF735C7D"/>
      <x:name val="Carlito"/>
    </x:font>
    <x:font>
      <x:b/>
      <x:sz val="11"/>
      <x:color rgb="FF436B6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8F4FA"/>
      </x:patternFill>
    </x:fill>
    <x:fill>
      <x:patternFill patternType="solid">
        <x:fgColor rgb="FF1F2933"/>
      </x:patternFill>
    </x:fill>
    <x:fill>
      <x:patternFill patternType="solid">
        <x:fgColor rgb="FF735C7D"/>
      </x:patternFill>
    </x:fill>
    <x:fill>
      <x:patternFill patternType="solid">
        <x:fgColor rgb="FFEEE8F0"/>
      </x:patternFill>
    </x:fill>
    <x:fill>
      <x:patternFill patternType="solid">
        <x:fgColor rgb="FFFFFFFF"/>
      </x:patternFill>
    </x:fill>
    <x:fill>
      <x:patternFill patternType="solid">
        <x:fgColor rgb="FFF8E9E4"/>
      </x:patternFill>
    </x:fill>
    <x:fill>
      <x:patternFill patternType="solid">
        <x:fgColor rgb="FFF3F7FB"/>
      </x:patternFill>
    </x:fill>
    <x:fill>
      <x:patternFill patternType="solid">
        <x:fgColor rgb="FFEAF2F0"/>
      </x:patternFill>
    </x:fill>
  </x:fills>
  <x:borders count="9">
    <x:border/>
    <x:border>
      <x:left style="thin">
        <x:color rgb="FFE7E3DC"/>
      </x:left>
      <x:top style="thin">
        <x:color rgb="FFE7E3DC"/>
      </x:top>
    </x:border>
    <x:border>
      <x:top style="thin">
        <x:color rgb="FFE7E3DC"/>
      </x:top>
    </x:border>
    <x:border>
      <x:right style="thin">
        <x:color rgb="FFE7E3DC"/>
      </x:right>
      <x:top style="thin">
        <x:color rgb="FFE7E3DC"/>
      </x:top>
    </x:border>
    <x:border>
      <x:left style="thin">
        <x:color rgb="FFE7E3DC"/>
      </x:left>
      <x:bottom style="thin">
        <x:color rgb="FFE7E3DC"/>
      </x:bottom>
    </x:border>
    <x:border>
      <x:bottom style="thin">
        <x:color rgb="FFE7E3DC"/>
      </x:bottom>
    </x:border>
    <x:border>
      <x:right style="thin">
        <x:color rgb="FFE7E3DC"/>
      </x:right>
      <x:bottom style="thin">
        <x:color rgb="FFE7E3DC"/>
      </x:bottom>
    </x:border>
    <x:border>
      <x:top style="thin">
        <x:color rgb="FFE7E3DC"/>
      </x:top>
      <x:bottom style="thin">
        <x:color rgb="FFE7E3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vertical="center"/>
    </x:xf>
    <x:xf numFmtId="200" fontId="5" fillId="6" borderId="3" xfId="0" applyNumberFormat="1" applyFont="1" applyFill="1" applyBorder="1" applyAlignment="1">
      <x:alignment vertical="center"/>
    </x:xf>
    <x:xf numFmtId="200" fontId="5" fillId="6" borderId="4" xfId="0" applyNumberFormat="1" applyFont="1" applyFill="1" applyBorder="1" applyAlignment="1">
      <x:alignment vertical="center"/>
    </x:xf>
    <x:xf numFmtId="200" fontId="5" fillId="6" borderId="5" xfId="0" applyNumberFormat="1" applyFont="1" applyFill="1" applyBorder="1" applyAlignment="1">
      <x:alignment vertical="center"/>
    </x:xf>
    <x:xf numFmtId="200" fontId="5" fillId="6" borderId="6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horizontal="center" vertical="center"/>
    </x:xf>
    <x:xf numFmtId="200" fontId="5" fillId="6" borderId="3" xfId="0" applyNumberFormat="1" applyFont="1" applyFill="1" applyBorder="1" applyAlignment="1">
      <x:alignment horizontal="center" vertical="center"/>
    </x:xf>
    <x:xf numFmtId="200" fontId="5" fillId="6" borderId="4" xfId="0" applyNumberFormat="1" applyFont="1" applyFill="1" applyBorder="1" applyAlignment="1">
      <x:alignment horizontal="center" vertical="center"/>
    </x:xf>
    <x:xf numFmtId="200" fontId="5" fillId="6" borderId="5" xfId="0" applyNumberFormat="1" applyFont="1" applyFill="1" applyBorder="1" applyAlignment="1">
      <x:alignment horizontal="center" vertical="center"/>
    </x:xf>
    <x:xf numFmtId="200" fontId="5" fillId="6" borderId="6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horizontal="center" vertical="center"/>
    </x:xf>
    <x:xf numFmtId="201" fontId="8" fillId="6" borderId="5" xfId="0" applyNumberFormat="1" applyFont="1" applyFill="1" applyBorder="1" applyAlignment="1">
      <x:alignment vertical="center"/>
    </x:xf>
    <x:xf numFmtId="201" fontId="8" fillId="6" borderId="7" xfId="0" applyNumberFormat="1" applyFont="1" applyFill="1" applyBorder="1" applyAlignment="1">
      <x:alignment vertical="center"/>
    </x:xf>
    <x:xf numFmtId="201" fontId="8" fillId="6" borderId="2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0" fillId="4" borderId="0" xfId="0" applyNumberFormat="1" applyFont="1" applyFill="1" applyBorder="1"/>
    <x:xf numFmtId="0" fontId="12" fillId="4" borderId="0" xfId="0" applyNumberFormat="1" applyFont="1" applyFill="1" applyBorder="1"/>
    <x:xf numFmtId="0" fontId="0" fillId="8" borderId="0" xfId="0" applyNumberFormat="1" applyFont="1" applyFill="1" applyBorder="1"/>
    <x:xf numFmtId="0" fontId="13" fillId="5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202" fontId="14" fillId="9" borderId="0" xfId="0" applyNumberFormat="1" applyFont="1" applyFill="1" applyBorder="1"/>
    <x:xf numFmtId="202" fontId="0" fillId="8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E3F2B"/>
      </x:font>
      <x:fill>
        <x:patternFill patternType="solid">
          <x:bgColor rgb="FFF8E9E4"/>
        </x:patternFill>
      </x:fill>
    </x:dxf>
    <x:dxf>
      <x:font>
        <x:b/>
        <x:color rgb="FF765220"/>
      </x:font>
      <x:fill>
        <x:patternFill patternType="solid">
          <x:bgColor rgb="FFF8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b5732164e459f" /><Relationship Type="http://schemas.openxmlformats.org/officeDocument/2006/relationships/theme" Target="/xl/theme/theme1.xml" Id="Rc221072d15564104" /><Relationship Type="http://schemas.openxmlformats.org/officeDocument/2006/relationships/sharedStrings" Target="/xl/sharedStrings.xml" Id="R3e8e23b11ad347b0" /><Relationship Type="http://schemas.openxmlformats.org/officeDocument/2006/relationships/worksheet" Target="/xl/worksheets/sheet1.xml" Id="R6518b40b2e594020" /><Relationship Type="http://schemas.openxmlformats.org/officeDocument/2006/relationships/worksheet" Target="/xl/worksheets/sheet2.xml" Id="R6124a9be543b4c75" /></Relationships>
</file>

<file path=xl/tables/table1.xml><?xml version="1.0" encoding="utf-8"?>
<x:table xmlns:x="http://schemas.openxmlformats.org/spreadsheetml/2006/main" id="1" name="OrbitHeadcountTable" displayName="OrbitHeadcountTable" ref="A4:I12" headerRowCount="1" totalsRowCount="0" totalsRowShown="0">
  <x:tableColumns count="9">
    <x:tableColumn id="1" name="Team"/>
    <x:tableColumn id="2" name="Role"/>
    <x:tableColumn id="3" name="Current"/>
    <x:tableColumn id="4" name="Target"/>
    <x:tableColumn id="5" name="Gap"/>
    <x:tableColumn id="6" name="Salary midpoint"/>
    <x:tableColumn id="7" name="Annual cost"/>
    <x:tableColumn id="8" name="Priority"/>
    <x:tableColumn id="9" name="Own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f8f3c58db341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2.890000343322754" hidden="0" customWidth="1"/>
    <x:col min="3" max="3" width="10.670000076293945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.670000076293945" hidden="0" customWidth="1"/>
    <x:col min="8" max="8" width="9.109999656677246" hidden="0" customWidth="1"/>
    <x:col min="9" max="9" width="9.109999656677246" hidden="0" customWidth="1"/>
    <x:col min="10" max="10" width="10" hidden="0" customWidth="1"/>
    <x:col min="11" max="11" width="12.220000267028809" hidden="0" customWidth="1"/>
    <x:col min="12" max="12" width="13.329999923706055" hidden="0" customWidth="1"/>
  </x:cols>
  <x:sheetData>
    <x:row r="1" ht="25.5" customHeight="1">
      <x:c r="A1" s="5" t="str">
        <x:v>Orbit People &amp; Staffing Planner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.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18" customHeight="1">
      <x:c r="A3" s="7" t="str">
        <x:v>WEEKLY COVERAGE MATRIX · ASSIGNMENTS, LEAVE, CAPACITY, AND OPEN ROLES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18" customHeight="1">
      <x:c r="A4" s="10" t="str">
        <x:v>PEOPLE + ROLES</x:v>
      </x:c>
      <x:c r="B4" s="10"/>
      <x:c r="C4" s="10"/>
      <x:c r="D4" s="10" t="str">
        <x:v>PLANNED HOURS</x:v>
      </x:c>
      <x:c r="E4" s="10"/>
      <x:c r="F4" s="10"/>
      <x:c r="G4" s="33" t="str">
        <x:v>OVER CAPACITY</x:v>
      </x:c>
      <x:c r="H4" s="33"/>
      <x:c r="I4" s="33"/>
      <x:c r="J4" s="33" t="str">
        <x:v>OPEN ROLES</x:v>
      </x:c>
      <x:c r="K4" s="33"/>
      <x:c r="L4" s="33"/>
    </x:row>
    <x:row r="5" ht="25.5" customHeight="1">
      <x:c r="A5" s="25" t="n">
        <x:f>COUNTA($A$9:$A$18)</x:f>
        <x:v>10</x:v>
      </x:c>
      <x:c r="B5" s="26"/>
      <x:c r="C5" s="27"/>
      <x:c r="D5" s="25" t="n">
        <x:f>SUM($I$9:$I$18)</x:f>
        <x:v>400</x:v>
      </x:c>
      <x:c r="E5" s="26"/>
      <x:c r="F5" s="27"/>
      <x:c r="G5" s="25" t="n">
        <x:f>COUNTIF($K$9:$K$18,"Over capacity")</x:f>
        <x:v>1</x:v>
      </x:c>
      <x:c r="H5" s="26"/>
      <x:c r="I5" s="27"/>
      <x:c r="J5" s="25" t="n">
        <x:f>COUNTIF($K$9:$K$18,"Hiring")</x:f>
        <x:v>2</x:v>
      </x:c>
      <x:c r="K5" s="26"/>
      <x:c r="L5" s="27"/>
    </x:row>
    <x:row r="6" ht="25.5" customHeight="1">
      <x:c r="A6" s="28"/>
      <x:c r="B6" s="29"/>
      <x:c r="C6" s="30"/>
      <x:c r="D6" s="28"/>
      <x:c r="E6" s="29"/>
      <x:c r="F6" s="30"/>
      <x:c r="G6" s="28"/>
      <x:c r="H6" s="29"/>
      <x:c r="I6" s="30"/>
      <x:c r="J6" s="28"/>
      <x:c r="K6" s="29"/>
      <x:c r="L6" s="30"/>
    </x:row>
    <x:row r="7" ht="10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2.5" customHeight="1">
      <x:c r="A8" s="35" t="str">
        <x:v>Person</x:v>
      </x:c>
      <x:c r="B8" s="35" t="str">
        <x:v>Role</x:v>
      </x:c>
      <x:c r="C8" s="35" t="str">
        <x:v>MON</x:v>
      </x:c>
      <x:c r="D8" s="35" t="str">
        <x:v>TUE</x:v>
      </x:c>
      <x:c r="E8" s="35" t="str">
        <x:v>WED</x:v>
      </x:c>
      <x:c r="F8" s="35" t="str">
        <x:v>THU</x:v>
      </x:c>
      <x:c r="G8" s="35" t="str">
        <x:v>FRI</x:v>
      </x:c>
      <x:c r="H8" s="35" t="str">
        <x:v>Capacity</x:v>
      </x:c>
      <x:c r="I8" s="35" t="str">
        <x:v>Planned</x:v>
      </x:c>
      <x:c r="J8" s="35" t="str">
        <x:v>Utilization</x:v>
      </x:c>
      <x:c r="K8" s="35" t="str">
        <x:v>State</x:v>
      </x:c>
      <x:c r="L8" s="35" t="str">
        <x:v>Team</x:v>
      </x:c>
    </x:row>
    <x:row r="9" ht="23.25" customHeight="1">
      <x:c r="A9" s="37" t="str">
        <x:v>Avery Cole</x:v>
      </x:c>
      <x:c r="B9" s="37" t="str">
        <x:v>Product lead</x:v>
      </x:c>
      <x:c r="C9" s="47" t="str">
        <x:v>Launch</x:v>
      </x:c>
      <x:c r="D9" s="47" t="str">
        <x:v>Launch</x:v>
      </x:c>
      <x:c r="E9" s="47" t="str">
        <x:v>Research</x:v>
      </x:c>
      <x:c r="F9" s="47" t="str">
        <x:v>Research</x:v>
      </x:c>
      <x:c r="G9" s="47" t="str">
        <x:v>Review</x:v>
      </x:c>
      <x:c r="H9" s="37" t="n">
        <x:v>40</x:v>
      </x:c>
      <x:c r="I9" s="37" t="n">
        <x:f>COUNTA(C9:G9)*8</x:f>
        <x:v>40</x:v>
      </x:c>
      <x:c r="J9" s="48" t="n">
        <x:f>IF(H9=0,0,I9/H9)</x:f>
        <x:v>1</x:v>
      </x:c>
      <x:c r="K9" s="37" t="str">
        <x:v>Available</x:v>
      </x:c>
      <x:c r="L9" s="37" t="str">
        <x:v>Product</x:v>
      </x:c>
    </x:row>
    <x:row r="10" ht="23.25" customHeight="1">
      <x:c r="A10" s="38" t="str">
        <x:v>Jordan Lee</x:v>
      </x:c>
      <x:c r="B10" s="38" t="str">
        <x:v>Frontend</x:v>
      </x:c>
      <x:c r="C10" s="47" t="str">
        <x:v>Build</x:v>
      </x:c>
      <x:c r="D10" s="47" t="str">
        <x:v>Build</x:v>
      </x:c>
      <x:c r="E10" s="47" t="str">
        <x:v>Build</x:v>
      </x:c>
      <x:c r="F10" s="47" t="str">
        <x:v>Review</x:v>
      </x:c>
      <x:c r="G10" s="47" t="str">
        <x:v>Support</x:v>
      </x:c>
      <x:c r="H10" s="38" t="n">
        <x:v>40</x:v>
      </x:c>
      <x:c r="I10" s="38" t="n">
        <x:f>COUNTA(C10:G10)*8</x:f>
        <x:v>40</x:v>
      </x:c>
      <x:c r="J10" s="49" t="n">
        <x:f>IF(H10=0,0,I10/H10)</x:f>
        <x:v>1</x:v>
      </x:c>
      <x:c r="K10" s="38" t="str">
        <x:v>Allocated</x:v>
      </x:c>
      <x:c r="L10" s="38" t="str">
        <x:v>Engineering</x:v>
      </x:c>
    </x:row>
    <x:row r="11" ht="23.25" customHeight="1">
      <x:c r="A11" s="38" t="str">
        <x:v>Sam Rivera</x:v>
      </x:c>
      <x:c r="B11" s="38" t="str">
        <x:v>Backend</x:v>
      </x:c>
      <x:c r="C11" s="47" t="str">
        <x:v>Platform</x:v>
      </x:c>
      <x:c r="D11" s="47" t="str">
        <x:v>Platform</x:v>
      </x:c>
      <x:c r="E11" s="47" t="str">
        <x:v>Platform</x:v>
      </x:c>
      <x:c r="F11" s="47" t="str">
        <x:v>On-call</x:v>
      </x:c>
      <x:c r="G11" s="47" t="str">
        <x:v>On-call</x:v>
      </x:c>
      <x:c r="H11" s="38" t="n">
        <x:v>32</x:v>
      </x:c>
      <x:c r="I11" s="38" t="n">
        <x:f>COUNTA(C11:G11)*8</x:f>
        <x:v>40</x:v>
      </x:c>
      <x:c r="J11" s="49" t="n">
        <x:f>IF(H11=0,0,I11/H11)</x:f>
        <x:v>1.25</x:v>
      </x:c>
      <x:c r="K11" s="38" t="str">
        <x:v>Over capacity</x:v>
      </x:c>
      <x:c r="L11" s="38" t="str">
        <x:v>Engineering</x:v>
      </x:c>
    </x:row>
    <x:row r="12" ht="23.25" customHeight="1">
      <x:c r="A12" s="38" t="str">
        <x:v>Taylor Kim</x:v>
      </x:c>
      <x:c r="B12" s="38" t="str">
        <x:v>Designer</x:v>
      </x:c>
      <x:c r="C12" s="47" t="str">
        <x:v>Research</x:v>
      </x:c>
      <x:c r="D12" s="47" t="str">
        <x:v>Prototype</x:v>
      </x:c>
      <x:c r="E12" s="47" t="str">
        <x:v>Prototype</x:v>
      </x:c>
      <x:c r="F12" s="47" t="str">
        <x:v>Launch</x:v>
      </x:c>
      <x:c r="G12" s="47" t="str">
        <x:v>Review</x:v>
      </x:c>
      <x:c r="H12" s="38" t="n">
        <x:v>32</x:v>
      </x:c>
      <x:c r="I12" s="38" t="n">
        <x:f>COUNTA(C12:G12)*8</x:f>
        <x:v>40</x:v>
      </x:c>
      <x:c r="J12" s="49" t="n">
        <x:f>IF(H12=0,0,I12/H12)</x:f>
        <x:v>1.25</x:v>
      </x:c>
      <x:c r="K12" s="38" t="str">
        <x:v>Allocated</x:v>
      </x:c>
      <x:c r="L12" s="38" t="str">
        <x:v>Design</x:v>
      </x:c>
    </x:row>
    <x:row r="13" ht="23.25" customHeight="1">
      <x:c r="A13" s="38" t="str">
        <x:v>Morgan Chen</x:v>
      </x:c>
      <x:c r="B13" s="38" t="str">
        <x:v>Data analyst</x:v>
      </x:c>
      <x:c r="C13" s="47" t="str">
        <x:v>Insights</x:v>
      </x:c>
      <x:c r="D13" s="47" t="str">
        <x:v>Insights</x:v>
      </x:c>
      <x:c r="E13" s="47" t="str">
        <x:v>Research</x:v>
      </x:c>
      <x:c r="F13" s="47" t="str">
        <x:v>Research</x:v>
      </x:c>
      <x:c r="G13" s="47" t="str">
        <x:v>Planning</x:v>
      </x:c>
      <x:c r="H13" s="38" t="n">
        <x:v>32</x:v>
      </x:c>
      <x:c r="I13" s="38" t="n">
        <x:f>COUNTA(C13:G13)*8</x:f>
        <x:v>40</x:v>
      </x:c>
      <x:c r="J13" s="49" t="n">
        <x:f>IF(H13=0,0,I13/H13)</x:f>
        <x:v>1.25</x:v>
      </x:c>
      <x:c r="K13" s="38" t="str">
        <x:v>Available</x:v>
      </x:c>
      <x:c r="L13" s="38" t="str">
        <x:v>Data</x:v>
      </x:c>
    </x:row>
    <x:row r="14" ht="23.25" customHeight="1">
      <x:c r="A14" s="38" t="str">
        <x:v>Riley Jones</x:v>
      </x:c>
      <x:c r="B14" s="38" t="str">
        <x:v>QA engineer</x:v>
      </x:c>
      <x:c r="C14" s="47" t="str">
        <x:v>Test</x:v>
      </x:c>
      <x:c r="D14" s="47" t="str">
        <x:v>Test</x:v>
      </x:c>
      <x:c r="E14" s="47" t="str">
        <x:v>Launch</x:v>
      </x:c>
      <x:c r="F14" s="47" t="str">
        <x:v>Launch</x:v>
      </x:c>
      <x:c r="G14" s="47" t="str">
        <x:v>Support</x:v>
      </x:c>
      <x:c r="H14" s="38" t="n">
        <x:v>40</x:v>
      </x:c>
      <x:c r="I14" s="38" t="n">
        <x:f>COUNTA(C14:G14)*8</x:f>
        <x:v>40</x:v>
      </x:c>
      <x:c r="J14" s="49" t="n">
        <x:f>IF(H14=0,0,I14/H14)</x:f>
        <x:v>1</x:v>
      </x:c>
      <x:c r="K14" s="38" t="str">
        <x:v>Allocated</x:v>
      </x:c>
      <x:c r="L14" s="38" t="str">
        <x:v>Engineering</x:v>
      </x:c>
    </x:row>
    <x:row r="15" ht="23.25" customHeight="1">
      <x:c r="A15" s="38" t="str">
        <x:v>Casey Patel</x:v>
      </x:c>
      <x:c r="B15" s="38" t="str">
        <x:v>Customer ops</x:v>
      </x:c>
      <x:c r="C15" s="47" t="str">
        <x:v>Support</x:v>
      </x:c>
      <x:c r="D15" s="47" t="str">
        <x:v>Support</x:v>
      </x:c>
      <x:c r="E15" s="47" t="str">
        <x:v>Training</x:v>
      </x:c>
      <x:c r="F15" s="47" t="str">
        <x:v>Training</x:v>
      </x:c>
      <x:c r="G15" s="47" t="str">
        <x:v>Support</x:v>
      </x:c>
      <x:c r="H15" s="38" t="n">
        <x:v>40</x:v>
      </x:c>
      <x:c r="I15" s="38" t="n">
        <x:f>COUNTA(C15:G15)*8</x:f>
        <x:v>40</x:v>
      </x:c>
      <x:c r="J15" s="49" t="n">
        <x:f>IF(H15=0,0,I15/H15)</x:f>
        <x:v>1</x:v>
      </x:c>
      <x:c r="K15" s="38" t="str">
        <x:v>Allocated</x:v>
      </x:c>
      <x:c r="L15" s="38" t="str">
        <x:v>Operations</x:v>
      </x:c>
    </x:row>
    <x:row r="16" ht="23.25" customHeight="1">
      <x:c r="A16" s="38" t="str">
        <x:v>Jamie Park</x:v>
      </x:c>
      <x:c r="B16" s="38" t="str">
        <x:v>Growth</x:v>
      </x:c>
      <x:c r="C16" s="47" t="str">
        <x:v>Campaign</x:v>
      </x:c>
      <x:c r="D16" s="47" t="str">
        <x:v>Campaign</x:v>
      </x:c>
      <x:c r="E16" s="47" t="str">
        <x:v>Content</x:v>
      </x:c>
      <x:c r="F16" s="47" t="str">
        <x:v>Content</x:v>
      </x:c>
      <x:c r="G16" s="47" t="str">
        <x:v>Analytics</x:v>
      </x:c>
      <x:c r="H16" s="38" t="n">
        <x:v>32</x:v>
      </x:c>
      <x:c r="I16" s="38" t="n">
        <x:f>COUNTA(C16:G16)*8</x:f>
        <x:v>40</x:v>
      </x:c>
      <x:c r="J16" s="49" t="n">
        <x:f>IF(H16=0,0,I16/H16)</x:f>
        <x:v>1.25</x:v>
      </x:c>
      <x:c r="K16" s="38" t="str">
        <x:v>On leave</x:v>
      </x:c>
      <x:c r="L16" s="38" t="str">
        <x:v>Growth</x:v>
      </x:c>
    </x:row>
    <x:row r="17" ht="23.25" customHeight="1">
      <x:c r="A17" s="38" t="str">
        <x:v>Open role</x:v>
      </x:c>
      <x:c r="B17" s="38" t="str">
        <x:v>Solutions engineer</x:v>
      </x:c>
      <x:c r="C17" s="47" t="str">
        <x:v>Hiring</x:v>
      </x:c>
      <x:c r="D17" s="47" t="str">
        <x:v>Hiring</x:v>
      </x:c>
      <x:c r="E17" s="47" t="str">
        <x:v>Hiring</x:v>
      </x:c>
      <x:c r="F17" s="47" t="str">
        <x:v>Hiring</x:v>
      </x:c>
      <x:c r="G17" s="47" t="str">
        <x:v>Hiring</x:v>
      </x:c>
      <x:c r="H17" s="38" t="n">
        <x:v>40</x:v>
      </x:c>
      <x:c r="I17" s="38" t="n">
        <x:f>COUNTA(C17:G17)*8</x:f>
        <x:v>40</x:v>
      </x:c>
      <x:c r="J17" s="49" t="n">
        <x:f>IF(H17=0,0,I17/H17)</x:f>
        <x:v>1</x:v>
      </x:c>
      <x:c r="K17" s="38" t="str">
        <x:v>Hiring</x:v>
      </x:c>
      <x:c r="L17" s="38" t="str">
        <x:v>Sales</x:v>
      </x:c>
    </x:row>
    <x:row r="18" ht="23.25" customHeight="1">
      <x:c r="A18" s="39" t="str">
        <x:v>Open role</x:v>
      </x:c>
      <x:c r="B18" s="39" t="str">
        <x:v>People partner</x:v>
      </x:c>
      <x:c r="C18" s="47" t="str">
        <x:v>Hiring</x:v>
      </x:c>
      <x:c r="D18" s="47" t="str">
        <x:v>Hiring</x:v>
      </x:c>
      <x:c r="E18" s="47" t="str">
        <x:v>Hiring</x:v>
      </x:c>
      <x:c r="F18" s="47" t="str">
        <x:v>Hiring</x:v>
      </x:c>
      <x:c r="G18" s="47" t="str">
        <x:v>Hiring</x:v>
      </x:c>
      <x:c r="H18" s="39" t="n">
        <x:v>32</x:v>
      </x:c>
      <x:c r="I18" s="39" t="n">
        <x:f>COUNTA(C18:G18)*8</x:f>
        <x:v>40</x:v>
      </x:c>
      <x:c r="J18" s="50" t="n">
        <x:f>IF(H18=0,0,I18/H18)</x:f>
        <x:v>1.25</x:v>
      </x:c>
      <x:c r="K18" s="39" t="str">
        <x:v>Hiring</x:v>
      </x:c>
      <x:c r="L18" s="39" t="str">
        <x:v>People</x:v>
      </x:c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1" customHeight="1">
      <x:c r="A20" s="51" t="str">
        <x:v>Coverage note · Engineering has an on-call overload on Wednesday–Friday; protect Sam's maker time and accelerate Solutions hiring.</x:v>
      </x:c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</x:sheetData>
  <x:mergeCells>
    <x:mergeCell ref="A1:L2"/>
    <x:mergeCell ref="A3:L3"/>
    <x:mergeCell ref="A4:C4"/>
    <x:mergeCell ref="A5:C6"/>
    <x:mergeCell ref="D4:F4"/>
    <x:mergeCell ref="D5:F6"/>
    <x:mergeCell ref="G4:I4"/>
    <x:mergeCell ref="G5:I6"/>
    <x:mergeCell ref="J4:L4"/>
    <x:mergeCell ref="J5:L6"/>
    <x:mergeCell ref="A20:L20"/>
  </x:mergeCells>
  <x:conditionalFormatting sqref="J9:J18">
    <x:cfRule type="dataBar" priority="1">
      <x:dataBar>
        <x:cfvo type="min"/>
        <x:cfvo type="max"/>
        <x:color rgb="FF735C7D"/>
      </x:dataBar>
      <x:extLst>
        <x:ext xmlns:x14="http://schemas.microsoft.com/office/spreadsheetml/2009/9/main" uri="{B025F937-C7B1-47D3-B67F-A62EFF666E3E}">
          <x14:id>{42C5FA43-5C83-ACD8-4094-A3E0AE5D87F8}</x14:id>
        </x:ext>
      </x:extLst>
    </x:cfRule>
  </x:conditionalFormatting>
  <x:conditionalFormatting sqref="K9:K18">
    <x:cfRule type="containsText" dxfId="0" priority="2" operator="containsText" text="Over capacity"/>
    <x:cfRule type="containsText" dxfId="1" priority="3" operator="containsText" text="Hiring"/>
  </x:conditionalFormatting>
  <x:dataValidations count="1">
    <x:dataValidation type="list" sqref="C9:G40">
      <x:formula1>"Launch,Research,Build,Review,Support,Platform,On-call,Prototype,Insights,Planning,Test,Training,Campaign,Content,Analytics,Hiring,Leave"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C5FA43-5C83-ACD8-4094-A3E0AE5D87F8}">
            <x14:dataBar gradient="1">
              <x14:cfvo type="min"/>
              <x14:cfvo type="max"/>
              <x14:fillColor rgb="FF735C7D"/>
            </x14:dataBar>
          </x14:cfRule>
          <xm:sqref>J9:J18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21.110000610351562" hidden="0" customWidth="1"/>
    <x:col min="3" max="3" width="8.4399995803833" hidden="0" customWidth="1"/>
    <x:col min="4" max="4" width="8.4399995803833" hidden="0" customWidth="1"/>
    <x:col min="5" max="5" width="7.78000020980835" hidden="0" customWidth="1"/>
    <x:col min="6" max="6" width="13.329999923706055" hidden="0" customWidth="1"/>
    <x:col min="7" max="7" width="13.329999923706055" hidden="0" customWidth="1"/>
    <x:col min="8" max="8" width="9.779999732971191" hidden="0" customWidth="1"/>
    <x:col min="9" max="9" width="10" hidden="0" customWidth="1"/>
  </x:cols>
  <x:sheetData>
    <x:row r="1" ht="24" customHeight="1">
      <x:c r="A1" s="54" t="str">
        <x:v>Orbit Headcount Plan</x:v>
      </x:c>
      <x:c r="B1" s="54"/>
      <x:c r="C1" s="54"/>
      <x:c r="D1" s="54"/>
      <x:c r="E1" s="54"/>
      <x:c r="F1" s="54"/>
      <x:c r="G1" s="54"/>
      <x:c r="H1" s="54"/>
      <x:c r="I1" s="54"/>
    </x:row>
    <x:row r="2" ht="24" customHeight="1">
      <x:c r="A2" s="54"/>
      <x:c r="B2" s="54"/>
      <x:c r="C2" s="54"/>
      <x:c r="D2" s="54"/>
      <x:c r="E2" s="54"/>
      <x:c r="F2" s="54"/>
      <x:c r="G2" s="54"/>
      <x:c r="H2" s="54"/>
      <x:c r="I2" s="54"/>
    </x:row>
    <x:row r="3" ht="18.75" customHeight="1">
      <x:c r="A3" s="56" t="str">
        <x:v>Editable hiring plan with formula-driven gaps and annual cost.</x:v>
      </x:c>
      <x:c r="B3" s="56"/>
      <x:c r="C3" s="56"/>
      <x:c r="D3" s="56"/>
      <x:c r="E3" s="56"/>
      <x:c r="F3" s="56"/>
      <x:c r="G3" s="56"/>
      <x:c r="H3" s="56"/>
      <x:c r="I3" s="56"/>
    </x:row>
    <x:row r="4" ht="22.5" customHeight="1">
      <x:c r="A4" s="58" t="str">
        <x:v>Team</x:v>
      </x:c>
      <x:c r="B4" s="58" t="str">
        <x:v>Role</x:v>
      </x:c>
      <x:c r="C4" s="58" t="str">
        <x:v>Current</x:v>
      </x:c>
      <x:c r="D4" s="58" t="str">
        <x:v>Target</x:v>
      </x:c>
      <x:c r="E4" s="58" t="str">
        <x:v>Gap</x:v>
      </x:c>
      <x:c r="F4" s="58" t="str">
        <x:v>Salary midpoint</x:v>
      </x:c>
      <x:c r="G4" s="58" t="str">
        <x:v>Annual cost</x:v>
      </x:c>
      <x:c r="H4" s="58" t="str">
        <x:v>Priority</x:v>
      </x:c>
      <x:c r="I4" s="58" t="str">
        <x:v>Owner</x:v>
      </x:c>
    </x:row>
    <x:row r="5" ht="21" customHeight="1">
      <x:c r="A5" s="59" t="str">
        <x:v>Engineering</x:v>
      </x:c>
      <x:c r="B5" s="59" t="str">
        <x:v>Solutions engineer</x:v>
      </x:c>
      <x:c r="C5" s="59" t="n">
        <x:v>0</x:v>
      </x:c>
      <x:c r="D5" s="59" t="n">
        <x:v>1</x:v>
      </x:c>
      <x:c r="E5" s="60" t="n">
        <x:f>MAX(D5-C5,0)</x:f>
        <x:v>1</x:v>
      </x:c>
      <x:c r="F5" s="64" t="n">
        <x:v>145000</x:v>
      </x:c>
      <x:c r="G5" s="63" t="n">
        <x:f>E5*F5</x:f>
        <x:v>145000</x:v>
      </x:c>
      <x:c r="H5" s="59" t="str">
        <x:v>Critical</x:v>
      </x:c>
      <x:c r="I5" s="59" t="str">
        <x:v>Avery</x:v>
      </x:c>
    </x:row>
    <x:row r="6" ht="21" customHeight="1">
      <x:c r="A6" s="59" t="str">
        <x:v>People</x:v>
      </x:c>
      <x:c r="B6" s="59" t="str">
        <x:v>People partner</x:v>
      </x:c>
      <x:c r="C6" s="59" t="n">
        <x:v>0</x:v>
      </x:c>
      <x:c r="D6" s="59" t="n">
        <x:v>1</x:v>
      </x:c>
      <x:c r="E6" s="60" t="n">
        <x:f>MAX(D6-C6,0)</x:f>
        <x:v>1</x:v>
      </x:c>
      <x:c r="F6" s="64" t="n">
        <x:v>118000</x:v>
      </x:c>
      <x:c r="G6" s="63" t="n">
        <x:f>E6*F6</x:f>
        <x:v>118000</x:v>
      </x:c>
      <x:c r="H6" s="59" t="str">
        <x:v>High</x:v>
      </x:c>
      <x:c r="I6" s="59" t="str">
        <x:v>People</x:v>
      </x:c>
    </x:row>
    <x:row r="7" ht="21" customHeight="1">
      <x:c r="A7" s="59" t="str">
        <x:v>Design</x:v>
      </x:c>
      <x:c r="B7" s="59" t="str">
        <x:v>Product designer</x:v>
      </x:c>
      <x:c r="C7" s="59" t="n">
        <x:v>1</x:v>
      </x:c>
      <x:c r="D7" s="59" t="n">
        <x:v>2</x:v>
      </x:c>
      <x:c r="E7" s="60" t="n">
        <x:f>MAX(D7-C7,0)</x:f>
        <x:v>1</x:v>
      </x:c>
      <x:c r="F7" s="64" t="n">
        <x:v>132000</x:v>
      </x:c>
      <x:c r="G7" s="63" t="n">
        <x:f>E7*F7</x:f>
        <x:v>132000</x:v>
      </x:c>
      <x:c r="H7" s="59" t="str">
        <x:v>Medium</x:v>
      </x:c>
      <x:c r="I7" s="59" t="str">
        <x:v>Taylor</x:v>
      </x:c>
    </x:row>
    <x:row r="8" ht="21" customHeight="1">
      <x:c r="A8" s="59" t="str">
        <x:v>Data</x:v>
      </x:c>
      <x:c r="B8" s="59" t="str">
        <x:v>Data analyst</x:v>
      </x:c>
      <x:c r="C8" s="59" t="n">
        <x:v>1</x:v>
      </x:c>
      <x:c r="D8" s="59" t="n">
        <x:v>1</x:v>
      </x:c>
      <x:c r="E8" s="60" t="n">
        <x:f>MAX(D8-C8,0)</x:f>
        <x:v>0</x:v>
      </x:c>
      <x:c r="F8" s="64" t="n">
        <x:v>126000</x:v>
      </x:c>
      <x:c r="G8" s="63" t="n">
        <x:f>E8*F8</x:f>
        <x:v>0</x:v>
      </x:c>
      <x:c r="H8" s="59" t="str">
        <x:v>Low</x:v>
      </x:c>
      <x:c r="I8" s="59" t="str">
        <x:v>Morgan</x:v>
      </x:c>
    </x:row>
    <x:row r="9" ht="21" customHeight="1">
      <x:c r="A9" s="59" t="str">
        <x:v>Operations</x:v>
      </x:c>
      <x:c r="B9" s="59" t="str">
        <x:v>Customer ops</x:v>
      </x:c>
      <x:c r="C9" s="59" t="n">
        <x:v>1</x:v>
      </x:c>
      <x:c r="D9" s="59" t="n">
        <x:v>2</x:v>
      </x:c>
      <x:c r="E9" s="60" t="n">
        <x:f>MAX(D9-C9,0)</x:f>
        <x:v>1</x:v>
      </x:c>
      <x:c r="F9" s="64" t="n">
        <x:v>82000</x:v>
      </x:c>
      <x:c r="G9" s="63" t="n">
        <x:f>E9*F9</x:f>
        <x:v>82000</x:v>
      </x:c>
      <x:c r="H9" s="59" t="str">
        <x:v>High</x:v>
      </x:c>
      <x:c r="I9" s="59" t="str">
        <x:v>Casey</x:v>
      </x:c>
    </x:row>
    <x:row r="10" ht="21" customHeight="1">
      <x:c r="A10" s="59" t="str">
        <x:v>Engineering</x:v>
      </x:c>
      <x:c r="B10" s="59" t="str">
        <x:v>QA engineer</x:v>
      </x:c>
      <x:c r="C10" s="59" t="n">
        <x:v>1</x:v>
      </x:c>
      <x:c r="D10" s="59" t="n">
        <x:v>2</x:v>
      </x:c>
      <x:c r="E10" s="60" t="n">
        <x:f>MAX(D10-C10,0)</x:f>
        <x:v>1</x:v>
      </x:c>
      <x:c r="F10" s="64" t="n">
        <x:v>112000</x:v>
      </x:c>
      <x:c r="G10" s="63" t="n">
        <x:f>E10*F10</x:f>
        <x:v>112000</x:v>
      </x:c>
      <x:c r="H10" s="59" t="str">
        <x:v>High</x:v>
      </x:c>
      <x:c r="I10" s="59" t="str">
        <x:v>Jordan</x:v>
      </x:c>
    </x:row>
    <x:row r="11" ht="21" customHeight="1">
      <x:c r="A11" s="59" t="str">
        <x:v>Growth</x:v>
      </x:c>
      <x:c r="B11" s="59" t="str">
        <x:v>Lifecycle marketer</x:v>
      </x:c>
      <x:c r="C11" s="59" t="n">
        <x:v>0</x:v>
      </x:c>
      <x:c r="D11" s="59" t="n">
        <x:v>1</x:v>
      </x:c>
      <x:c r="E11" s="60" t="n">
        <x:f>MAX(D11-C11,0)</x:f>
        <x:v>1</x:v>
      </x:c>
      <x:c r="F11" s="64" t="n">
        <x:v>108000</x:v>
      </x:c>
      <x:c r="G11" s="63" t="n">
        <x:f>E11*F11</x:f>
        <x:v>108000</x:v>
      </x:c>
      <x:c r="H11" s="59" t="str">
        <x:v>Medium</x:v>
      </x:c>
      <x:c r="I11" s="59" t="str">
        <x:v>Growth</x:v>
      </x:c>
    </x:row>
    <x:row r="12" ht="21" customHeight="1">
      <x:c r="A12" s="59" t="str">
        <x:v>Product</x:v>
      </x:c>
      <x:c r="B12" s="59" t="str">
        <x:v>Product manager</x:v>
      </x:c>
      <x:c r="C12" s="59" t="n">
        <x:v>1</x:v>
      </x:c>
      <x:c r="D12" s="59" t="n">
        <x:v>1</x:v>
      </x:c>
      <x:c r="E12" s="60" t="n">
        <x:f>MAX(D12-C12,0)</x:f>
        <x:v>0</x:v>
      </x:c>
      <x:c r="F12" s="64" t="n">
        <x:v>154000</x:v>
      </x:c>
      <x:c r="G12" s="63" t="n">
        <x:f>E12*F12</x:f>
        <x:v>0</x:v>
      </x:c>
      <x:c r="H12" s="59" t="str">
        <x:v>Low</x:v>
      </x:c>
      <x:c r="I12" s="59" t="str">
        <x:v>Avery</x:v>
      </x:c>
    </x:row>
  </x:sheetData>
  <x:mergeCells>
    <x:mergeCell ref="A1:I2"/>
    <x:mergeCell ref="A3:I3"/>
  </x:mergeCells>
  <x:dataValidations count="1">
    <x:dataValidation type="list" sqref="H5:H4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f8f3c58db341ea"/>
  </x:tableParts>
</x:worksheet>
</file>