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ipeline" sheetId="1" state="visible" r:id="rId1"/>
    <sheet name="Programs" sheetId="2" state="visible" r:id="rId2"/>
    <sheet name="Impact Report" sheetId="3" state="visible" r:id="rId3"/>
    <sheet name="Funding Mix" sheetId="4" state="visible" r:id="rId4"/>
  </sheets>
  <definedNames>
    <definedName name="_xlnm.Print_Area" localSheetId="0">'Pipeline'!$B$2:$R$31</definedName>
    <definedName name="_xlnm._FilterDatabase" localSheetId="1" hidden="1">'Programs'!$A$2:$D$5</definedName>
    <definedName name="_xlnm._FilterDatabase" localSheetId="3" hidden="1">'Funding Mix'!$A$1:$D$7</definedName>
  </definedNames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2">
    <numFmt numFmtId="164" formatCode="\$#,##0"/>
    <numFmt numFmtId="165" formatCode="$#,##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rgb="FF000000"/>
      <sz val="10"/>
    </font>
    <font>
      <name val="Georgia"/>
      <charset val="1"/>
      <family val="0"/>
      <b val="1"/>
      <color rgb="FF17665F"/>
      <sz val="22"/>
    </font>
    <font>
      <name val="Georgia"/>
      <charset val="1"/>
      <family val="0"/>
      <b val="1"/>
      <color rgb="FFFFFFFF"/>
      <sz val="11"/>
    </font>
    <font>
      <name val="Arial"/>
      <charset val="1"/>
      <family val="0"/>
      <b val="1"/>
      <color rgb="FF17665F"/>
      <sz val="9"/>
    </font>
    <font>
      <name val="Arial"/>
      <charset val="1"/>
      <family val="0"/>
      <b val="1"/>
      <color rgb="FFFFFFFF"/>
      <sz val="10"/>
    </font>
    <font>
      <name val="Georgia"/>
      <charset val="1"/>
      <family val="0"/>
      <b val="1"/>
      <color rgb="FF17665F"/>
      <sz val="12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Aptos Display"/>
      <b val="1"/>
      <color rgb="00235146"/>
      <sz val="22"/>
    </font>
    <font>
      <name val="Aptos"/>
      <b val="1"/>
      <color rgb="00235146"/>
      <sz val="10"/>
    </font>
    <font>
      <name val="Aptos Display"/>
      <b val="1"/>
      <color rgb="00235146"/>
      <sz val="14"/>
    </font>
  </fonts>
  <fills count="7">
    <fill>
      <patternFill/>
    </fill>
    <fill>
      <patternFill patternType="gray125"/>
    </fill>
    <fill>
      <patternFill patternType="solid">
        <fgColor rgb="FFF1E8D5"/>
        <bgColor rgb="FFE3F0EB"/>
      </patternFill>
    </fill>
    <fill>
      <patternFill patternType="solid">
        <fgColor rgb="FF1A857B"/>
        <bgColor rgb="FF339966"/>
      </patternFill>
    </fill>
    <fill>
      <patternFill patternType="solid">
        <fgColor rgb="FFFFFFFF"/>
        <bgColor rgb="FFF9F9F9"/>
      </patternFill>
    </fill>
    <fill>
      <patternFill patternType="solid">
        <fgColor rgb="FF335C67"/>
        <bgColor rgb="FF17665F"/>
      </patternFill>
    </fill>
    <fill>
      <patternFill patternType="solid">
        <fgColor rgb="FFE3F0EB"/>
        <bgColor rgb="FFD9E2EA"/>
      </patternFill>
    </fill>
  </fills>
  <borders count="23">
    <border>
      <left/>
      <right/>
      <top/>
      <bottom/>
      <diagonal/>
    </border>
    <border>
      <left style="thin">
        <color rgb="FF1A857B"/>
      </left>
      <right style="thin">
        <color rgb="FF1A857B"/>
      </right>
      <top style="thin">
        <color rgb="FF1A857B"/>
      </top>
      <bottom style="thin">
        <color rgb="FF1A857B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  <border>
      <left style="thin">
        <color rgb="FFE3F0EB"/>
      </left>
      <right style="thin">
        <color rgb="FFE3F0EB"/>
      </right>
      <top style="thin">
        <color rgb="FFE3F0EB"/>
      </top>
      <bottom style="thin">
        <color rgb="FFE3F0EB"/>
      </bottom>
      <diagonal/>
    </border>
    <border>
      <left/>
      <right/>
      <top style="thin">
        <color rgb="FF1A857B"/>
      </top>
      <bottom/>
      <diagonal/>
    </border>
    <border>
      <left/>
      <right style="thin">
        <color rgb="FF1A857B"/>
      </right>
      <top style="thin">
        <color rgb="FF1A857B"/>
      </top>
      <bottom/>
      <diagonal/>
    </border>
    <border>
      <left/>
      <right/>
      <top style="thin">
        <color rgb="FF1A857B"/>
      </top>
      <bottom style="thin">
        <color rgb="FF1A857B"/>
      </bottom>
      <diagonal/>
    </border>
    <border>
      <left/>
      <right style="thin">
        <color rgb="FF1A857B"/>
      </right>
      <top style="thin">
        <color rgb="FF1A857B"/>
      </top>
      <bottom style="thin">
        <color rgb="FF1A857B"/>
      </bottom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E3F0EB"/>
      </top>
      <bottom/>
      <diagonal/>
    </border>
    <border>
      <left style="thin">
        <color rgb="FFE3F0EB"/>
      </left>
      <right/>
      <top/>
      <bottom/>
      <diagonal/>
    </border>
    <border>
      <left/>
      <right style="thin">
        <color rgb="FFE3F0EB"/>
      </right>
      <top style="thin">
        <color rgb="FFE3F0EB"/>
      </top>
      <bottom/>
      <diagonal/>
    </border>
    <border>
      <left/>
      <right style="thin">
        <color rgb="FFE3F0EB"/>
      </right>
      <top/>
      <bottom/>
      <diagonal/>
    </border>
    <border>
      <left style="thin">
        <color rgb="FFE3F0EB"/>
      </left>
      <right/>
      <top/>
      <bottom style="thin">
        <color rgb="FFE3F0EB"/>
      </bottom>
      <diagonal/>
    </border>
    <border>
      <left/>
      <right/>
      <top/>
      <bottom style="thin">
        <color rgb="FFE3F0EB"/>
      </bottom>
      <diagonal/>
    </border>
    <border>
      <left/>
      <right style="thin">
        <color rgb="FFE3F0EB"/>
      </right>
      <top/>
      <bottom style="thin">
        <color rgb="FFE3F0E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164" fontId="4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8" fillId="5" borderId="2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9" fillId="6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left" vertical="center" shrinkToFit="1"/>
    </xf>
    <xf numFmtId="0" fontId="6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7" fillId="4" borderId="2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164" fontId="4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8" fillId="5" borderId="2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9" fillId="6" borderId="4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8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13" fillId="2" borderId="0" applyAlignment="1" pivotButton="0" quotePrefix="0" xfId="0">
      <alignment horizontal="left" vertical="center"/>
    </xf>
    <xf numFmtId="165" fontId="14" fillId="2" borderId="0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335C6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857B"/>
      <rgbColor rgb="FFC6B89E"/>
      <rgbColor rgb="FF878787"/>
      <rgbColor rgb="FF9999FF"/>
      <rgbColor rgb="FF993366"/>
      <rgbColor rgb="FFF9F9F9"/>
      <rgbColor rgb="FFE3F0E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7665F"/>
      <rgbColor rgb="FF0000FF"/>
      <rgbColor rgb="FF00CCFF"/>
      <rgbColor rgb="FFD9E2EA"/>
      <rgbColor rgb="FFF1E8D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5C67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DejaVu Sans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Unique Funder Weighted Mix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'Funding Mix'!D1</f>
              <strCache>
                <ptCount val="1"/>
                <pt idx="0">
                  <v>Weighted</v>
                </pt>
              </strCache>
            </strRef>
          </tx>
          <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DejaVu Sans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'Funding Mix'!$C$2:$C$7</f>
              <strCache>
                <ptCount val="6"/>
                <pt idx="0">
                  <v>0.1</v>
                </pt>
                <pt idx="1">
                  <v>0.35</v>
                </pt>
                <pt idx="2">
                  <v>0.65</v>
                </pt>
                <pt idx="3">
                  <v>0.95</v>
                </pt>
                <pt idx="4">
                  <v>0.35</v>
                </pt>
                <pt idx="5">
                  <v>0.8</v>
                </pt>
              </strCache>
            </strRef>
          </cat>
          <val>
            <numRef>
              <f>'Funding Mix'!$D$2:$D$7</f>
              <numCache>
                <formatCode>General</formatCode>
                <ptCount val="6"/>
                <pt idx="0">
                  <v>7500</v>
                </pt>
                <pt idx="1">
                  <v>15750</v>
                </pt>
                <pt idx="2">
                  <v>78000</v>
                </pt>
                <pt idx="3">
                  <v>57000</v>
                </pt>
                <pt idx="4">
                  <v>31500</v>
                </pt>
                <pt idx="5">
                  <v>44000</v>
                </pt>
              </numCache>
            </numRef>
          </val>
        </ser>
        <gapWidth val="150"/>
        <overlap val="0"/>
        <axId val="62059728"/>
        <axId val="14914524"/>
      </barChart>
      <catAx>
        <axId val="62059728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14914524"/>
        <crosses val="autoZero"/>
        <auto val="1"/>
        <lblAlgn val="ctr"/>
        <lblOffset val="100"/>
        <noMultiLvlLbl val="0"/>
      </catAx>
      <valAx>
        <axId val="14914524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62059728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5</col>
      <colOff>0</colOff>
      <row>1</row>
      <rowOff>0</rowOff>
    </from>
    <to>
      <col>8</col>
      <colOff>852120</colOff>
      <row>9</row>
      <rowOff>25560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Programs21" displayName="TPrograms21" ref="A2:D5" headerRowCount="1" totalsRowCount="0" totalsRowShown="0">
  <autoFilter ref="A2:D5"/>
  <tableColumns count="4">
    <tableColumn id="1" name="Program"/>
    <tableColumn id="2" name="Participants"/>
    <tableColumn id="3" name="Cost"/>
    <tableColumn id="4" name="Outcome Score"/>
  </tableColumns>
</table>
</file>

<file path=xl/tables/table2.xml><?xml version="1.0" encoding="utf-8"?>
<table xmlns="http://schemas.openxmlformats.org/spreadsheetml/2006/main" id="2" name="TFundingMix11" displayName="TFundingMix11" ref="A1:D7" headerRowCount="1" totalsRowCount="0" totalsRowShown="0">
  <autoFilter ref="A1:D7"/>
  <tableColumns count="4">
    <tableColumn id="1" name="Funder"/>
    <tableColumn id="2" name="Ask"/>
    <tableColumn id="3" name="Probability"/>
    <tableColumn id="4" name="Weight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 filterMode="0">
    <tabColor rgb="FF1A857B"/>
    <outlinePr summaryBelow="1" summaryRight="1"/>
    <pageSetUpPr fitToPage="1"/>
  </sheetPr>
  <dimension ref="A1:AD7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21" customHeight="1" zeroHeight="0" outlineLevelRow="0"/>
  <cols>
    <col width="13" customWidth="1" style="12" min="1" max="31"/>
    <col width="10" customWidth="1" style="13" min="2" max="2"/>
    <col width="10" customWidth="1" style="13" min="3" max="3"/>
    <col width="10" customWidth="1" style="13" min="4" max="4"/>
    <col width="10" customWidth="1" style="13" min="5" max="5"/>
    <col width="10" customWidth="1" style="13" min="6" max="6"/>
    <col width="10" customWidth="1" style="13" min="7" max="7"/>
    <col width="10" customWidth="1" style="13" min="8" max="8"/>
    <col width="10" customWidth="1" style="13" min="9" max="9"/>
    <col width="10" customWidth="1" style="13" min="10" max="10"/>
    <col width="10" customWidth="1" style="13" min="11" max="11"/>
    <col width="10" customWidth="1" style="13" min="12" max="12"/>
    <col width="10" customWidth="1" style="13" min="13" max="13"/>
    <col width="10" customWidth="1" style="13" min="14" max="14"/>
    <col width="10" customWidth="1" style="13" min="15" max="15"/>
    <col width="10" customWidth="1" style="13" min="16" max="16"/>
    <col width="10" customWidth="1" style="13" min="17" max="17"/>
    <col width="10" customWidth="1" style="13" min="18" max="18"/>
  </cols>
  <sheetData>
    <row r="1" ht="21" customHeight="1" s="13">
      <c r="A1" s="14" t="n"/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  <c r="AD1" s="14" t="n"/>
    </row>
    <row r="2" ht="34" customHeight="1" s="13">
      <c r="A2" s="14" t="n"/>
      <c r="B2" s="15" t="inlineStr">
        <is>
          <t>Open Hands Grant Pipeline &amp; Impact Story</t>
        </is>
      </c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</row>
    <row r="3" ht="21" customHeight="1" s="1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</row>
    <row r="4" ht="21" customHeight="1" s="13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</row>
    <row r="5" ht="21" customHeight="1" s="13">
      <c r="A5" s="14" t="n"/>
      <c r="B5" s="14" t="n"/>
      <c r="C5" s="14" t="n"/>
      <c r="D5" s="16" t="inlineStr">
        <is>
          <t>Prospect</t>
        </is>
      </c>
      <c r="E5" s="17" t="n"/>
      <c r="F5" s="18" t="n"/>
      <c r="G5" s="16" t="inlineStr">
        <is>
          <t>Drafting</t>
        </is>
      </c>
      <c r="H5" s="17" t="n"/>
      <c r="I5" s="18" t="n"/>
      <c r="J5" s="16" t="inlineStr">
        <is>
          <t>Submitted</t>
        </is>
      </c>
      <c r="K5" s="17" t="n"/>
      <c r="L5" s="18" t="n"/>
      <c r="M5" s="16" t="inlineStr">
        <is>
          <t>Awarded</t>
        </is>
      </c>
      <c r="N5" s="17" t="n"/>
      <c r="O5" s="18" t="n"/>
      <c r="P5" s="16" t="inlineStr">
        <is>
          <t>Reporting</t>
        </is>
      </c>
      <c r="Q5" s="17" t="n"/>
      <c r="R5" s="18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</row>
    <row r="6" ht="21" customHeight="1" s="13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</row>
    <row r="7" ht="21" customHeight="1" s="13">
      <c r="A7" s="14" t="n"/>
      <c r="B7" s="19" t="inlineStr">
        <is>
          <t>Bright Path Fund
Expected $75,000
Weighted = $7,500</t>
        </is>
      </c>
      <c r="C7" s="20" t="n"/>
      <c r="D7" s="21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</row>
    <row r="8" ht="21" customHeight="1" s="13">
      <c r="A8" s="14" t="n"/>
      <c r="B8" s="22" t="n"/>
      <c r="D8" s="23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</row>
    <row r="9" ht="21" customHeight="1" s="13">
      <c r="A9" s="14" t="n"/>
      <c r="B9" s="24" t="n"/>
      <c r="C9" s="25" t="n"/>
      <c r="D9" s="26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</row>
    <row r="10" ht="21" customHeight="1" s="13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</row>
    <row r="11" ht="21" customHeight="1" s="13">
      <c r="A11" s="14" t="n"/>
      <c r="B11" s="14" t="n"/>
      <c r="C11" s="14" t="n"/>
      <c r="D11" s="14" t="n"/>
      <c r="E11" s="19" t="inlineStr">
        <is>
          <t>Civic Roots
Expected $45,000
Weighted = $15,750</t>
        </is>
      </c>
      <c r="F11" s="20" t="n"/>
      <c r="G11" s="21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</row>
    <row r="12" ht="21" customHeight="1" s="13">
      <c r="A12" s="14" t="n"/>
      <c r="B12" s="14" t="n"/>
      <c r="C12" s="14" t="n"/>
      <c r="D12" s="14" t="n"/>
      <c r="E12" s="22" t="n"/>
      <c r="G12" s="23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</row>
    <row r="13" ht="21" customHeight="1" s="13">
      <c r="A13" s="14" t="n"/>
      <c r="B13" s="14" t="n"/>
      <c r="C13" s="14" t="n"/>
      <c r="D13" s="14" t="n"/>
      <c r="E13" s="24" t="n"/>
      <c r="F13" s="25" t="n"/>
      <c r="G13" s="26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</row>
    <row r="14" ht="21" customHeight="1" s="13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</row>
    <row r="15" ht="21" customHeight="1" s="13">
      <c r="A15" s="14" t="n"/>
      <c r="B15" s="14" t="n"/>
      <c r="C15" s="14" t="n"/>
      <c r="D15" s="14" t="n"/>
      <c r="E15" s="19" t="inlineStr">
        <is>
          <t>Riverbend
Expected $90,000
Weighted = $31,500</t>
        </is>
      </c>
      <c r="F15" s="20" t="n"/>
      <c r="G15" s="21" t="n"/>
      <c r="H15" s="19" t="inlineStr">
        <is>
          <t>Harbor Trust
Expected $120,000
Weighted = $78,000</t>
        </is>
      </c>
      <c r="I15" s="20" t="n"/>
      <c r="J15" s="21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</row>
    <row r="16" ht="21" customHeight="1" s="13">
      <c r="A16" s="14" t="n"/>
      <c r="B16" s="14" t="n"/>
      <c r="C16" s="14" t="n"/>
      <c r="D16" s="14" t="n"/>
      <c r="E16" s="22" t="n"/>
      <c r="G16" s="23" t="n"/>
      <c r="H16" s="22" t="n"/>
      <c r="J16" s="23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</row>
    <row r="17" ht="21" customHeight="1" s="13">
      <c r="A17" s="14" t="n"/>
      <c r="B17" s="14" t="n"/>
      <c r="C17" s="14" t="n"/>
      <c r="D17" s="14" t="n"/>
      <c r="E17" s="24" t="n"/>
      <c r="F17" s="25" t="n"/>
      <c r="G17" s="26" t="n"/>
      <c r="H17" s="24" t="n"/>
      <c r="I17" s="25" t="n"/>
      <c r="J17" s="26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</row>
    <row r="18" ht="21" customHeight="1" s="13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</row>
    <row r="19" ht="21" customHeight="1" s="13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9" t="inlineStr">
        <is>
          <t>Lumen Family
Expected $60,000
Weighted = $57,000</t>
        </is>
      </c>
      <c r="L19" s="20" t="n"/>
      <c r="M19" s="21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</row>
    <row r="20" ht="21" customHeight="1" s="13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22" t="n"/>
      <c r="M20" s="23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</row>
    <row r="21" ht="21" customHeight="1" s="13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24" t="n"/>
      <c r="L21" s="25" t="n"/>
      <c r="M21" s="26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</row>
    <row r="22" ht="21" customHeight="1" s="13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</row>
    <row r="23" ht="21" customHeight="1" s="1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9" t="inlineStr">
        <is>
          <t>North Star Aid
Expected $55,000
Weighted = $44,000</t>
        </is>
      </c>
      <c r="O23" s="20" t="n"/>
      <c r="P23" s="21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</row>
    <row r="24" ht="21" customHeight="1" s="13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22" t="n"/>
      <c r="P24" s="23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</row>
    <row r="25" ht="21" customHeight="1" s="13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24" t="n"/>
      <c r="O25" s="25" t="n"/>
      <c r="P25" s="26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</row>
    <row r="26" ht="21" customHeight="1" s="13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</row>
    <row r="27" ht="21" customHeight="1" s="13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</row>
    <row r="28" ht="21" customHeight="1" s="13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</row>
    <row r="29" ht="21" customHeight="1" s="13">
      <c r="A29" s="14" t="n"/>
      <c r="B29" s="38" t="inlineStr">
        <is>
          <t>WEIGHTED PIPELINE</t>
        </is>
      </c>
      <c r="D29" s="39">
        <f>SUM('Funding Mix'!D2:D7)</f>
        <v/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</row>
    <row r="30" ht="21" customHeight="1" s="13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</row>
    <row r="31" ht="21" customHeight="1" s="13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</row>
    <row r="32" ht="21" customHeight="1" s="13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</row>
    <row r="33" ht="21" customHeight="1" s="1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</row>
    <row r="34" ht="21" customHeight="1" s="13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</row>
    <row r="35" ht="21" customHeight="1" s="13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</row>
    <row r="36" ht="21" customHeight="1" s="13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</row>
    <row r="37" ht="21" customHeight="1" s="13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</row>
    <row r="38" ht="21" customHeight="1" s="13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</row>
    <row r="39" ht="21" customHeight="1" s="13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</row>
    <row r="40" ht="21" customHeight="1" s="13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</row>
    <row r="41" ht="21" customHeight="1" s="13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</row>
    <row r="42" ht="21" customHeight="1" s="13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</row>
    <row r="43" ht="21" customHeight="1" s="1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</row>
    <row r="44" ht="21" customHeight="1" s="13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</row>
    <row r="45" ht="21" customHeight="1" s="13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</row>
    <row r="46" ht="21" customHeight="1" s="13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</row>
    <row r="47" ht="21" customHeight="1" s="13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</row>
    <row r="48" ht="21" customHeight="1" s="13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</row>
    <row r="49" ht="21" customHeight="1" s="13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</row>
    <row r="50" ht="21" customHeight="1" s="13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</row>
    <row r="51" ht="21" customHeight="1" s="13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</row>
    <row r="52" ht="21" customHeight="1" s="13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</row>
    <row r="53" ht="21" customHeight="1" s="1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</row>
    <row r="54" ht="21" customHeight="1" s="13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</row>
    <row r="55" ht="21" customHeight="1" s="13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</row>
    <row r="56" ht="21" customHeight="1" s="13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</row>
    <row r="57" ht="21" customHeight="1" s="13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</row>
    <row r="58" ht="21" customHeight="1" s="13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</row>
    <row r="59" ht="21" customHeight="1" s="13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</row>
    <row r="60" ht="21" customHeight="1" s="13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</row>
    <row r="61" ht="21" customHeight="1" s="13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</row>
    <row r="62" ht="21" customHeight="1" s="13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</row>
    <row r="63" ht="21" customHeight="1" s="1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</row>
    <row r="64" ht="21" customHeight="1" s="13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</row>
    <row r="65" ht="21" customHeight="1" s="13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</row>
    <row r="66" ht="21" customHeight="1" s="13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</row>
    <row r="67" ht="21" customHeight="1" s="13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</row>
    <row r="68" ht="21" customHeight="1" s="13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</row>
    <row r="69" ht="21" customHeight="1" s="13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</row>
    <row r="70" ht="21" customHeight="1" s="13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</row>
  </sheetData>
  <mergeCells count="14">
    <mergeCell ref="J5:L5"/>
    <mergeCell ref="K19:M21"/>
    <mergeCell ref="B29:C29"/>
    <mergeCell ref="D5:F5"/>
    <mergeCell ref="G5:I5"/>
    <mergeCell ref="P5:R5"/>
    <mergeCell ref="N23:P25"/>
    <mergeCell ref="D29:E29"/>
    <mergeCell ref="M5:O5"/>
    <mergeCell ref="B7:D9"/>
    <mergeCell ref="B2:R2"/>
    <mergeCell ref="H15:J17"/>
    <mergeCell ref="E11:G13"/>
    <mergeCell ref="E15:G17"/>
  </mergeCells>
  <printOptions horizontalCentered="0" verticalCentered="0" headings="0" gridLines="0" gridLinesSet="1"/>
  <pageMargins left="0.2" right="0.2" top="0.25" bottom="0.2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C6B89E"/>
    <outlinePr summaryBelow="1" summaryRight="1"/>
    <pageSetUpPr fitToPage="1"/>
  </sheetPr>
  <dimension ref="A1:AD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21" customHeight="1" zeroHeight="0" outlineLevelRow="0"/>
  <cols>
    <col width="13" customWidth="1" style="12" min="1" max="31"/>
  </cols>
  <sheetData>
    <row r="1" ht="21" customHeight="1" s="13">
      <c r="A1" s="28" t="n"/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8" t="n"/>
      <c r="AD1" s="28" t="n"/>
    </row>
    <row r="2" ht="21" customHeight="1" s="13">
      <c r="A2" s="29" t="inlineStr">
        <is>
          <t>Program</t>
        </is>
      </c>
      <c r="B2" s="29" t="inlineStr">
        <is>
          <t>Participants</t>
        </is>
      </c>
      <c r="C2" s="29" t="inlineStr">
        <is>
          <t>Cost</t>
        </is>
      </c>
      <c r="D2" s="29" t="inlineStr">
        <is>
          <t>Outcome Score</t>
        </is>
      </c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</row>
    <row r="3" ht="21" customHeight="1" s="13">
      <c r="A3" s="30" t="inlineStr">
        <is>
          <t>Food Access</t>
        </is>
      </c>
      <c r="B3" s="30" t="n">
        <v>820</v>
      </c>
      <c r="C3" s="30" t="n">
        <v>45000</v>
      </c>
      <c r="D3" s="30" t="n">
        <v>0.86</v>
      </c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  <c r="Q3" s="28" t="n"/>
      <c r="R3" s="28" t="n"/>
      <c r="S3" s="28" t="n"/>
      <c r="T3" s="28" t="n"/>
      <c r="U3" s="28" t="n"/>
      <c r="V3" s="28" t="n"/>
      <c r="W3" s="28" t="n"/>
      <c r="X3" s="28" t="n"/>
      <c r="Y3" s="28" t="n"/>
      <c r="Z3" s="28" t="n"/>
      <c r="AA3" s="28" t="n"/>
      <c r="AB3" s="28" t="n"/>
      <c r="AC3" s="28" t="n"/>
      <c r="AD3" s="28" t="n"/>
    </row>
    <row r="4" ht="21" customHeight="1" s="13">
      <c r="A4" s="30" t="inlineStr">
        <is>
          <t>Youth Mentors</t>
        </is>
      </c>
      <c r="B4" s="30" t="n">
        <v>140</v>
      </c>
      <c r="C4" s="30" t="n">
        <v>32000</v>
      </c>
      <c r="D4" s="30" t="n">
        <v>0.78</v>
      </c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8" t="n"/>
      <c r="Q4" s="28" t="n"/>
      <c r="R4" s="28" t="n"/>
      <c r="S4" s="28" t="n"/>
      <c r="T4" s="28" t="n"/>
      <c r="U4" s="28" t="n"/>
      <c r="V4" s="28" t="n"/>
      <c r="W4" s="28" t="n"/>
      <c r="X4" s="28" t="n"/>
      <c r="Y4" s="28" t="n"/>
      <c r="Z4" s="28" t="n"/>
      <c r="AA4" s="28" t="n"/>
      <c r="AB4" s="28" t="n"/>
      <c r="AC4" s="28" t="n"/>
      <c r="AD4" s="28" t="n"/>
    </row>
    <row r="5" ht="21" customHeight="1" s="13">
      <c r="A5" s="30" t="inlineStr">
        <is>
          <t>Shelter Navigation</t>
        </is>
      </c>
      <c r="B5" s="30" t="n">
        <v>260</v>
      </c>
      <c r="C5" s="30" t="n">
        <v>51000</v>
      </c>
      <c r="D5" s="30" t="n">
        <v>0.91</v>
      </c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</row>
    <row r="6" ht="21" customHeight="1" s="13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</row>
    <row r="7" ht="21" customHeight="1" s="13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</row>
    <row r="8" ht="21" customHeight="1" s="13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</row>
    <row r="9" ht="21" customHeight="1" s="13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</row>
    <row r="10" ht="21" customHeight="1" s="13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</row>
    <row r="11" ht="21" customHeight="1" s="13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</row>
    <row r="12" ht="21" customHeight="1" s="13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  <c r="AC12" s="28" t="n"/>
      <c r="AD12" s="28" t="n"/>
    </row>
    <row r="13" ht="21" customHeight="1" s="13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</row>
    <row r="14" ht="21" customHeight="1" s="13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  <c r="AA14" s="28" t="n"/>
      <c r="AB14" s="28" t="n"/>
      <c r="AC14" s="28" t="n"/>
      <c r="AD14" s="28" t="n"/>
    </row>
    <row r="15" ht="21" customHeight="1" s="13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  <c r="AA15" s="28" t="n"/>
      <c r="AB15" s="28" t="n"/>
      <c r="AC15" s="28" t="n"/>
      <c r="AD15" s="28" t="n"/>
    </row>
    <row r="16" ht="21" customHeight="1" s="13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</row>
    <row r="17" ht="21" customHeight="1" s="13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</row>
    <row r="18" ht="21" customHeight="1" s="13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</row>
    <row r="19" ht="21" customHeight="1" s="13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</row>
    <row r="20" ht="21" customHeight="1" s="13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</row>
    <row r="21" ht="21" customHeight="1" s="13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</row>
    <row r="22" ht="21" customHeight="1" s="13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</row>
    <row r="23" ht="21" customHeight="1" s="13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  <c r="AA23" s="28" t="n"/>
      <c r="AB23" s="28" t="n"/>
      <c r="AC23" s="28" t="n"/>
      <c r="AD23" s="28" t="n"/>
    </row>
    <row r="24" ht="21" customHeight="1" s="13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</row>
    <row r="25" ht="21" customHeight="1" s="13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  <c r="AA25" s="28" t="n"/>
      <c r="AB25" s="28" t="n"/>
      <c r="AC25" s="28" t="n"/>
      <c r="AD25" s="28" t="n"/>
    </row>
    <row r="26" ht="21" customHeight="1" s="13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  <c r="AA26" s="28" t="n"/>
      <c r="AB26" s="28" t="n"/>
      <c r="AC26" s="28" t="n"/>
      <c r="AD26" s="28" t="n"/>
    </row>
    <row r="27" ht="21" customHeight="1" s="13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</row>
    <row r="28" ht="21" customHeight="1" s="13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</row>
    <row r="29" ht="21" customHeight="1" s="13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</row>
    <row r="30" ht="21" customHeight="1" s="13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</row>
    <row r="31" ht="21" customHeight="1" s="13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</row>
    <row r="32" ht="21" customHeight="1" s="13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</row>
    <row r="33" ht="21" customHeight="1" s="13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</row>
    <row r="34" ht="21" customHeight="1" s="13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  <c r="AA34" s="28" t="n"/>
      <c r="AB34" s="28" t="n"/>
      <c r="AC34" s="28" t="n"/>
      <c r="AD34" s="28" t="n"/>
    </row>
    <row r="35" ht="21" customHeight="1" s="13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</row>
    <row r="36" ht="21" customHeight="1" s="13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  <c r="AA36" s="28" t="n"/>
      <c r="AB36" s="28" t="n"/>
      <c r="AC36" s="28" t="n"/>
      <c r="AD36" s="28" t="n"/>
    </row>
    <row r="37" ht="21" customHeight="1" s="13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  <c r="AA37" s="28" t="n"/>
      <c r="AB37" s="28" t="n"/>
      <c r="AC37" s="28" t="n"/>
      <c r="AD37" s="28" t="n"/>
    </row>
    <row r="38" ht="21" customHeight="1" s="13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  <c r="AA38" s="28" t="n"/>
      <c r="AB38" s="28" t="n"/>
      <c r="AC38" s="28" t="n"/>
      <c r="AD38" s="28" t="n"/>
    </row>
    <row r="39" ht="21" customHeight="1" s="13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</row>
    <row r="40" ht="21" customHeight="1" s="13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</row>
    <row r="41" ht="21" customHeight="1" s="13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  <c r="AA41" s="28" t="n"/>
      <c r="AB41" s="28" t="n"/>
      <c r="AC41" s="28" t="n"/>
      <c r="AD41" s="28" t="n"/>
    </row>
    <row r="42" ht="21" customHeight="1" s="13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</row>
    <row r="43" ht="21" customHeight="1" s="13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</row>
    <row r="44" ht="21" customHeight="1" s="13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</row>
    <row r="45" ht="21" customHeight="1" s="13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  <c r="AA45" s="28" t="n"/>
      <c r="AB45" s="28" t="n"/>
      <c r="AC45" s="28" t="n"/>
      <c r="AD45" s="28" t="n"/>
    </row>
    <row r="46" ht="21" customHeight="1" s="13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</row>
    <row r="47" ht="21" customHeight="1" s="13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  <c r="AA47" s="28" t="n"/>
      <c r="AB47" s="28" t="n"/>
      <c r="AC47" s="28" t="n"/>
      <c r="AD47" s="28" t="n"/>
    </row>
    <row r="48" ht="21" customHeight="1" s="13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  <c r="AA48" s="28" t="n"/>
      <c r="AB48" s="28" t="n"/>
      <c r="AC48" s="28" t="n"/>
      <c r="AD48" s="28" t="n"/>
    </row>
    <row r="49" ht="21" customHeight="1" s="13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  <c r="AA49" s="28" t="n"/>
      <c r="AB49" s="28" t="n"/>
      <c r="AC49" s="28" t="n"/>
      <c r="AD49" s="28" t="n"/>
    </row>
    <row r="50" ht="21" customHeight="1" s="13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  <c r="AA50" s="28" t="n"/>
      <c r="AB50" s="28" t="n"/>
      <c r="AC50" s="28" t="n"/>
      <c r="AD50" s="28" t="n"/>
    </row>
    <row r="51" ht="21" customHeight="1" s="13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</row>
    <row r="52" ht="21" customHeight="1" s="13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</row>
    <row r="53" ht="21" customHeight="1" s="13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</row>
    <row r="54" ht="21" customHeight="1" s="13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</row>
    <row r="55" ht="21" customHeight="1" s="13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</row>
    <row r="56" ht="21" customHeight="1" s="13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  <c r="AA56" s="28" t="n"/>
      <c r="AB56" s="28" t="n"/>
      <c r="AC56" s="28" t="n"/>
      <c r="AD56" s="28" t="n"/>
    </row>
    <row r="57" ht="21" customHeight="1" s="13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</row>
    <row r="58" ht="21" customHeight="1" s="13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</row>
    <row r="59" ht="21" customHeight="1" s="13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  <c r="AA59" s="28" t="n"/>
      <c r="AB59" s="28" t="n"/>
      <c r="AC59" s="28" t="n"/>
      <c r="AD59" s="28" t="n"/>
    </row>
    <row r="60" ht="21" customHeight="1" s="13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  <c r="AA60" s="28" t="n"/>
      <c r="AB60" s="28" t="n"/>
      <c r="AC60" s="28" t="n"/>
      <c r="AD60" s="28" t="n"/>
    </row>
    <row r="61" ht="21" customHeight="1" s="13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</row>
    <row r="62" ht="21" customHeight="1" s="13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  <c r="AA62" s="28" t="n"/>
      <c r="AB62" s="28" t="n"/>
      <c r="AC62" s="28" t="n"/>
      <c r="AD62" s="28" t="n"/>
    </row>
    <row r="63" ht="21" customHeight="1" s="13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</row>
    <row r="64" ht="21" customHeight="1" s="13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</row>
    <row r="65" ht="21" customHeight="1" s="13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</row>
    <row r="66" ht="21" customHeight="1" s="13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</row>
    <row r="67" ht="21" customHeight="1" s="13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</row>
    <row r="68" ht="21" customHeight="1" s="13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</row>
    <row r="69" ht="21" customHeight="1" s="13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  <c r="AA69" s="28" t="n"/>
      <c r="AB69" s="28" t="n"/>
      <c r="AC69" s="28" t="n"/>
      <c r="AD69" s="28" t="n"/>
    </row>
    <row r="70" ht="21" customHeight="1" s="13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  <c r="AA70" s="28" t="n"/>
      <c r="AB70" s="28" t="n"/>
      <c r="AC70" s="28" t="n"/>
      <c r="AD70" s="28" t="n"/>
    </row>
  </sheetData>
  <autoFilter ref="A2:D5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tabColor rgb="FF1A857B"/>
    <outlinePr summaryBelow="1" summaryRight="1"/>
    <pageSetUpPr fitToPage="1"/>
  </sheetPr>
  <dimension ref="A1:AD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21" customHeight="1" zeroHeight="0" outlineLevelRow="0"/>
  <cols>
    <col width="13" customWidth="1" style="12" min="1" max="31"/>
  </cols>
  <sheetData>
    <row r="1" ht="21" customHeight="1" s="13">
      <c r="A1" s="28" t="n"/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8" t="n"/>
      <c r="AD1" s="28" t="n"/>
    </row>
    <row r="2" ht="21" customHeight="1" s="13">
      <c r="A2" s="28" t="n"/>
      <c r="B2" s="31" t="inlineStr">
        <is>
          <t>Outcome Scorecards</t>
        </is>
      </c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</row>
    <row r="3" ht="21" customHeight="1" s="13">
      <c r="A3" s="28" t="n"/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  <c r="Q3" s="28" t="n"/>
      <c r="R3" s="28" t="n"/>
      <c r="S3" s="28" t="n"/>
      <c r="T3" s="28" t="n"/>
      <c r="U3" s="28" t="n"/>
      <c r="V3" s="28" t="n"/>
      <c r="W3" s="28" t="n"/>
      <c r="X3" s="28" t="n"/>
      <c r="Y3" s="28" t="n"/>
      <c r="Z3" s="28" t="n"/>
      <c r="AA3" s="28" t="n"/>
      <c r="AB3" s="28" t="n"/>
      <c r="AC3" s="28" t="n"/>
      <c r="AD3" s="28" t="n"/>
    </row>
    <row r="4" ht="21" customHeight="1" s="13">
      <c r="A4" s="28" t="n"/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8" t="n"/>
      <c r="Q4" s="28" t="n"/>
      <c r="R4" s="28" t="n"/>
      <c r="S4" s="28" t="n"/>
      <c r="T4" s="28" t="n"/>
      <c r="U4" s="28" t="n"/>
      <c r="V4" s="28" t="n"/>
      <c r="W4" s="28" t="n"/>
      <c r="X4" s="28" t="n"/>
      <c r="Y4" s="28" t="n"/>
      <c r="Z4" s="28" t="n"/>
      <c r="AA4" s="28" t="n"/>
      <c r="AB4" s="28" t="n"/>
      <c r="AC4" s="28" t="n"/>
      <c r="AD4" s="28" t="n"/>
    </row>
    <row r="5" ht="21" customHeight="1" s="13">
      <c r="A5" s="28" t="n"/>
      <c r="B5" s="28" t="n"/>
      <c r="C5" s="28" t="n"/>
      <c r="D5" s="28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</row>
    <row r="6" ht="21" customHeight="1" s="13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</row>
    <row r="7" ht="21" customHeight="1" s="13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</row>
    <row r="8" ht="21" customHeight="1" s="13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</row>
    <row r="9" ht="21" customHeight="1" s="13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</row>
    <row r="10" ht="21" customHeight="1" s="13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</row>
    <row r="11" ht="21" customHeight="1" s="13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</row>
    <row r="12" ht="21" customHeight="1" s="13">
      <c r="A12" s="28" t="n"/>
      <c r="B12" s="32" t="inlineStr">
        <is>
          <t>Meals delivered
=18400</t>
        </is>
      </c>
      <c r="C12" s="33" t="n"/>
      <c r="D12" s="33" t="n"/>
      <c r="E12" s="33" t="n"/>
      <c r="F12" s="34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  <c r="AC12" s="28" t="n"/>
      <c r="AD12" s="28" t="n"/>
    </row>
    <row r="13" ht="21" customHeight="1" s="13">
      <c r="A13" s="28" t="n"/>
      <c r="B13" s="35" t="n"/>
      <c r="C13" s="36" t="n"/>
      <c r="D13" s="36" t="n"/>
      <c r="E13" s="36" t="n"/>
      <c r="F13" s="37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</row>
    <row r="14" ht="21" customHeight="1" s="13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  <c r="AA14" s="28" t="n"/>
      <c r="AB14" s="28" t="n"/>
      <c r="AC14" s="28" t="n"/>
      <c r="AD14" s="28" t="n"/>
    </row>
    <row r="15" ht="21" customHeight="1" s="13">
      <c r="A15" s="28" t="n"/>
      <c r="B15" s="32" t="inlineStr">
        <is>
          <t>Families stabilized
=312</t>
        </is>
      </c>
      <c r="C15" s="33" t="n"/>
      <c r="D15" s="33" t="n"/>
      <c r="E15" s="33" t="n"/>
      <c r="F15" s="34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  <c r="AA15" s="28" t="n"/>
      <c r="AB15" s="28" t="n"/>
      <c r="AC15" s="28" t="n"/>
      <c r="AD15" s="28" t="n"/>
    </row>
    <row r="16" ht="21" customHeight="1" s="13">
      <c r="A16" s="28" t="n"/>
      <c r="B16" s="35" t="n"/>
      <c r="C16" s="36" t="n"/>
      <c r="D16" s="36" t="n"/>
      <c r="E16" s="36" t="n"/>
      <c r="F16" s="37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</row>
    <row r="17" ht="21" customHeight="1" s="13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</row>
    <row r="18" ht="21" customHeight="1" s="13">
      <c r="A18" s="28" t="n"/>
      <c r="B18" s="32" t="inlineStr">
        <is>
          <t>Mentor hours
=2260</t>
        </is>
      </c>
      <c r="C18" s="33" t="n"/>
      <c r="D18" s="33" t="n"/>
      <c r="E18" s="33" t="n"/>
      <c r="F18" s="34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</row>
    <row r="19" ht="21" customHeight="1" s="13">
      <c r="A19" s="28" t="n"/>
      <c r="B19" s="35" t="n"/>
      <c r="C19" s="36" t="n"/>
      <c r="D19" s="36" t="n"/>
      <c r="E19" s="36" t="n"/>
      <c r="F19" s="37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</row>
    <row r="20" ht="21" customHeight="1" s="13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</row>
    <row r="21" ht="21" customHeight="1" s="13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</row>
    <row r="22" ht="21" customHeight="1" s="13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</row>
    <row r="23" ht="21" customHeight="1" s="13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  <c r="AA23" s="28" t="n"/>
      <c r="AB23" s="28" t="n"/>
      <c r="AC23" s="28" t="n"/>
      <c r="AD23" s="28" t="n"/>
    </row>
    <row r="24" ht="21" customHeight="1" s="13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</row>
    <row r="25" ht="21" customHeight="1" s="13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  <c r="AA25" s="28" t="n"/>
      <c r="AB25" s="28" t="n"/>
      <c r="AC25" s="28" t="n"/>
      <c r="AD25" s="28" t="n"/>
    </row>
    <row r="26" ht="21" customHeight="1" s="13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  <c r="AA26" s="28" t="n"/>
      <c r="AB26" s="28" t="n"/>
      <c r="AC26" s="28" t="n"/>
      <c r="AD26" s="28" t="n"/>
    </row>
    <row r="27" ht="21" customHeight="1" s="13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</row>
    <row r="28" ht="21" customHeight="1" s="13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</row>
    <row r="29" ht="21" customHeight="1" s="13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</row>
    <row r="30" ht="21" customHeight="1" s="13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</row>
    <row r="31" ht="21" customHeight="1" s="13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</row>
    <row r="32" ht="21" customHeight="1" s="13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</row>
    <row r="33" ht="21" customHeight="1" s="13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</row>
    <row r="34" ht="21" customHeight="1" s="13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  <c r="AA34" s="28" t="n"/>
      <c r="AB34" s="28" t="n"/>
      <c r="AC34" s="28" t="n"/>
      <c r="AD34" s="28" t="n"/>
    </row>
    <row r="35" ht="21" customHeight="1" s="13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</row>
    <row r="36" ht="21" customHeight="1" s="13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  <c r="AA36" s="28" t="n"/>
      <c r="AB36" s="28" t="n"/>
      <c r="AC36" s="28" t="n"/>
      <c r="AD36" s="28" t="n"/>
    </row>
    <row r="37" ht="21" customHeight="1" s="13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  <c r="AA37" s="28" t="n"/>
      <c r="AB37" s="28" t="n"/>
      <c r="AC37" s="28" t="n"/>
      <c r="AD37" s="28" t="n"/>
    </row>
    <row r="38" ht="21" customHeight="1" s="13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  <c r="AA38" s="28" t="n"/>
      <c r="AB38" s="28" t="n"/>
      <c r="AC38" s="28" t="n"/>
      <c r="AD38" s="28" t="n"/>
    </row>
    <row r="39" ht="21" customHeight="1" s="13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</row>
    <row r="40" ht="21" customHeight="1" s="13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</row>
    <row r="41" ht="21" customHeight="1" s="13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  <c r="AA41" s="28" t="n"/>
      <c r="AB41" s="28" t="n"/>
      <c r="AC41" s="28" t="n"/>
      <c r="AD41" s="28" t="n"/>
    </row>
    <row r="42" ht="21" customHeight="1" s="13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</row>
    <row r="43" ht="21" customHeight="1" s="13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</row>
    <row r="44" ht="21" customHeight="1" s="13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</row>
    <row r="45" ht="21" customHeight="1" s="13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  <c r="AA45" s="28" t="n"/>
      <c r="AB45" s="28" t="n"/>
      <c r="AC45" s="28" t="n"/>
      <c r="AD45" s="28" t="n"/>
    </row>
    <row r="46" ht="21" customHeight="1" s="13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</row>
    <row r="47" ht="21" customHeight="1" s="13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  <c r="AA47" s="28" t="n"/>
      <c r="AB47" s="28" t="n"/>
      <c r="AC47" s="28" t="n"/>
      <c r="AD47" s="28" t="n"/>
    </row>
    <row r="48" ht="21" customHeight="1" s="13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  <c r="AA48" s="28" t="n"/>
      <c r="AB48" s="28" t="n"/>
      <c r="AC48" s="28" t="n"/>
      <c r="AD48" s="28" t="n"/>
    </row>
    <row r="49" ht="21" customHeight="1" s="13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  <c r="AA49" s="28" t="n"/>
      <c r="AB49" s="28" t="n"/>
      <c r="AC49" s="28" t="n"/>
      <c r="AD49" s="28" t="n"/>
    </row>
    <row r="50" ht="21" customHeight="1" s="13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  <c r="AA50" s="28" t="n"/>
      <c r="AB50" s="28" t="n"/>
      <c r="AC50" s="28" t="n"/>
      <c r="AD50" s="28" t="n"/>
    </row>
    <row r="51" ht="21" customHeight="1" s="13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</row>
    <row r="52" ht="21" customHeight="1" s="13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</row>
    <row r="53" ht="21" customHeight="1" s="13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</row>
    <row r="54" ht="21" customHeight="1" s="13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</row>
    <row r="55" ht="21" customHeight="1" s="13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</row>
    <row r="56" ht="21" customHeight="1" s="13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  <c r="AA56" s="28" t="n"/>
      <c r="AB56" s="28" t="n"/>
      <c r="AC56" s="28" t="n"/>
      <c r="AD56" s="28" t="n"/>
    </row>
    <row r="57" ht="21" customHeight="1" s="13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</row>
    <row r="58" ht="21" customHeight="1" s="13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</row>
    <row r="59" ht="21" customHeight="1" s="13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  <c r="AA59" s="28" t="n"/>
      <c r="AB59" s="28" t="n"/>
      <c r="AC59" s="28" t="n"/>
      <c r="AD59" s="28" t="n"/>
    </row>
    <row r="60" ht="21" customHeight="1" s="13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  <c r="AA60" s="28" t="n"/>
      <c r="AB60" s="28" t="n"/>
      <c r="AC60" s="28" t="n"/>
      <c r="AD60" s="28" t="n"/>
    </row>
    <row r="61" ht="21" customHeight="1" s="13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</row>
    <row r="62" ht="21" customHeight="1" s="13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  <c r="AA62" s="28" t="n"/>
      <c r="AB62" s="28" t="n"/>
      <c r="AC62" s="28" t="n"/>
      <c r="AD62" s="28" t="n"/>
    </row>
    <row r="63" ht="21" customHeight="1" s="13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</row>
    <row r="64" ht="21" customHeight="1" s="13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</row>
    <row r="65" ht="21" customHeight="1" s="13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</row>
    <row r="66" ht="21" customHeight="1" s="13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</row>
    <row r="67" ht="21" customHeight="1" s="13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</row>
    <row r="68" ht="21" customHeight="1" s="13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</row>
    <row r="69" ht="21" customHeight="1" s="13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  <c r="AA69" s="28" t="n"/>
      <c r="AB69" s="28" t="n"/>
      <c r="AC69" s="28" t="n"/>
      <c r="AD69" s="28" t="n"/>
    </row>
    <row r="70" ht="21" customHeight="1" s="13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  <c r="AA70" s="28" t="n"/>
      <c r="AB70" s="28" t="n"/>
      <c r="AC70" s="28" t="n"/>
      <c r="AD70" s="28" t="n"/>
    </row>
  </sheetData>
  <mergeCells count="3">
    <mergeCell ref="B15:F16"/>
    <mergeCell ref="B12:F13"/>
    <mergeCell ref="B18:F19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17665F"/>
    <outlinePr summaryBelow="1" summaryRight="1"/>
    <pageSetUpPr fitToPage="1"/>
  </sheetPr>
  <dimension ref="A1:AD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21" customHeight="1" zeroHeight="0" outlineLevelRow="0"/>
  <cols>
    <col width="13" customWidth="1" style="12" min="1" max="31"/>
  </cols>
  <sheetData>
    <row r="1" ht="21" customHeight="1" s="13">
      <c r="A1" s="29" t="inlineStr">
        <is>
          <t>Funder</t>
        </is>
      </c>
      <c r="B1" s="29" t="inlineStr">
        <is>
          <t>Ask</t>
        </is>
      </c>
      <c r="C1" s="29" t="inlineStr">
        <is>
          <t>Probability</t>
        </is>
      </c>
      <c r="D1" s="29" t="inlineStr">
        <is>
          <t>Weighted</t>
        </is>
      </c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8" t="n"/>
      <c r="AD1" s="28" t="n"/>
    </row>
    <row r="2" ht="21" customHeight="1" s="13">
      <c r="A2" s="30" t="inlineStr">
        <is>
          <t>Bright Path Fund</t>
        </is>
      </c>
      <c r="B2" s="30" t="n">
        <v>75000</v>
      </c>
      <c r="C2" s="30" t="n">
        <v>0.1</v>
      </c>
      <c r="D2" s="30">
        <f>B2*C2</f>
        <v/>
      </c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</row>
    <row r="3" ht="21" customHeight="1" s="13">
      <c r="A3" s="30" t="inlineStr">
        <is>
          <t>Civic Roots</t>
        </is>
      </c>
      <c r="B3" s="30" t="n">
        <v>45000</v>
      </c>
      <c r="C3" s="30" t="n">
        <v>0.35</v>
      </c>
      <c r="D3" s="30">
        <f>B3*C3</f>
        <v/>
      </c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  <c r="Q3" s="28" t="n"/>
      <c r="R3" s="28" t="n"/>
      <c r="S3" s="28" t="n"/>
      <c r="T3" s="28" t="n"/>
      <c r="U3" s="28" t="n"/>
      <c r="V3" s="28" t="n"/>
      <c r="W3" s="28" t="n"/>
      <c r="X3" s="28" t="n"/>
      <c r="Y3" s="28" t="n"/>
      <c r="Z3" s="28" t="n"/>
      <c r="AA3" s="28" t="n"/>
      <c r="AB3" s="28" t="n"/>
      <c r="AC3" s="28" t="n"/>
      <c r="AD3" s="28" t="n"/>
    </row>
    <row r="4" ht="21" customHeight="1" s="13">
      <c r="A4" s="30" t="inlineStr">
        <is>
          <t>Harbor Trust</t>
        </is>
      </c>
      <c r="B4" s="30" t="n">
        <v>120000</v>
      </c>
      <c r="C4" s="30" t="n">
        <v>0.65</v>
      </c>
      <c r="D4" s="30">
        <f>B4*C4</f>
        <v/>
      </c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8" t="n"/>
      <c r="Q4" s="28" t="n"/>
      <c r="R4" s="28" t="n"/>
      <c r="S4" s="28" t="n"/>
      <c r="T4" s="28" t="n"/>
      <c r="U4" s="28" t="n"/>
      <c r="V4" s="28" t="n"/>
      <c r="W4" s="28" t="n"/>
      <c r="X4" s="28" t="n"/>
      <c r="Y4" s="28" t="n"/>
      <c r="Z4" s="28" t="n"/>
      <c r="AA4" s="28" t="n"/>
      <c r="AB4" s="28" t="n"/>
      <c r="AC4" s="28" t="n"/>
      <c r="AD4" s="28" t="n"/>
    </row>
    <row r="5" ht="21" customHeight="1" s="13">
      <c r="A5" s="30" t="inlineStr">
        <is>
          <t>Lumen Family</t>
        </is>
      </c>
      <c r="B5" s="30" t="n">
        <v>60000</v>
      </c>
      <c r="C5" s="30" t="n">
        <v>0.95</v>
      </c>
      <c r="D5" s="30">
        <f>B5*C5</f>
        <v/>
      </c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</row>
    <row r="6" ht="21" customHeight="1" s="13">
      <c r="A6" s="30" t="inlineStr">
        <is>
          <t>Riverbend</t>
        </is>
      </c>
      <c r="B6" s="30" t="n">
        <v>90000</v>
      </c>
      <c r="C6" s="30" t="n">
        <v>0.35</v>
      </c>
      <c r="D6" s="30">
        <f>B6*C6</f>
        <v/>
      </c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</row>
    <row r="7" ht="21" customHeight="1" s="13">
      <c r="A7" s="30" t="inlineStr">
        <is>
          <t>North Star Aid</t>
        </is>
      </c>
      <c r="B7" s="30" t="n">
        <v>55000</v>
      </c>
      <c r="C7" s="30" t="n">
        <v>0.8</v>
      </c>
      <c r="D7" s="30">
        <f>B7*C7</f>
        <v/>
      </c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</row>
    <row r="8" ht="21" customHeight="1" s="13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</row>
    <row r="9" ht="21" customHeight="1" s="13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</row>
    <row r="10" ht="21" customHeight="1" s="13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</row>
    <row r="11" ht="21" customHeight="1" s="13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</row>
    <row r="12" ht="21" customHeight="1" s="13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  <c r="AC12" s="28" t="n"/>
      <c r="AD12" s="28" t="n"/>
    </row>
    <row r="13" ht="21" customHeight="1" s="13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</row>
    <row r="14" ht="21" customHeight="1" s="13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  <c r="AA14" s="28" t="n"/>
      <c r="AB14" s="28" t="n"/>
      <c r="AC14" s="28" t="n"/>
      <c r="AD14" s="28" t="n"/>
    </row>
    <row r="15" ht="21" customHeight="1" s="13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  <c r="AA15" s="28" t="n"/>
      <c r="AB15" s="28" t="n"/>
      <c r="AC15" s="28" t="n"/>
      <c r="AD15" s="28" t="n"/>
    </row>
    <row r="16" ht="21" customHeight="1" s="13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</row>
    <row r="17" ht="21" customHeight="1" s="13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</row>
    <row r="18" ht="21" customHeight="1" s="13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</row>
    <row r="19" ht="21" customHeight="1" s="13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</row>
    <row r="20" ht="21" customHeight="1" s="13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</row>
    <row r="21" ht="21" customHeight="1" s="13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</row>
    <row r="22" ht="21" customHeight="1" s="13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</row>
    <row r="23" ht="21" customHeight="1" s="13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  <c r="AA23" s="28" t="n"/>
      <c r="AB23" s="28" t="n"/>
      <c r="AC23" s="28" t="n"/>
      <c r="AD23" s="28" t="n"/>
    </row>
    <row r="24" ht="21" customHeight="1" s="13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</row>
    <row r="25" ht="21" customHeight="1" s="13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  <c r="AA25" s="28" t="n"/>
      <c r="AB25" s="28" t="n"/>
      <c r="AC25" s="28" t="n"/>
      <c r="AD25" s="28" t="n"/>
    </row>
    <row r="26" ht="21" customHeight="1" s="13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  <c r="AA26" s="28" t="n"/>
      <c r="AB26" s="28" t="n"/>
      <c r="AC26" s="28" t="n"/>
      <c r="AD26" s="28" t="n"/>
    </row>
    <row r="27" ht="21" customHeight="1" s="13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</row>
    <row r="28" ht="21" customHeight="1" s="13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</row>
    <row r="29" ht="21" customHeight="1" s="13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</row>
    <row r="30" ht="21" customHeight="1" s="13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</row>
    <row r="31" ht="21" customHeight="1" s="13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</row>
    <row r="32" ht="21" customHeight="1" s="13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</row>
    <row r="33" ht="21" customHeight="1" s="13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</row>
    <row r="34" ht="21" customHeight="1" s="13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  <c r="AA34" s="28" t="n"/>
      <c r="AB34" s="28" t="n"/>
      <c r="AC34" s="28" t="n"/>
      <c r="AD34" s="28" t="n"/>
    </row>
    <row r="35" ht="21" customHeight="1" s="13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</row>
    <row r="36" ht="21" customHeight="1" s="13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  <c r="AA36" s="28" t="n"/>
      <c r="AB36" s="28" t="n"/>
      <c r="AC36" s="28" t="n"/>
      <c r="AD36" s="28" t="n"/>
    </row>
    <row r="37" ht="21" customHeight="1" s="13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  <c r="AA37" s="28" t="n"/>
      <c r="AB37" s="28" t="n"/>
      <c r="AC37" s="28" t="n"/>
      <c r="AD37" s="28" t="n"/>
    </row>
    <row r="38" ht="21" customHeight="1" s="13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  <c r="AA38" s="28" t="n"/>
      <c r="AB38" s="28" t="n"/>
      <c r="AC38" s="28" t="n"/>
      <c r="AD38" s="28" t="n"/>
    </row>
    <row r="39" ht="21" customHeight="1" s="13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</row>
    <row r="40" ht="21" customHeight="1" s="13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</row>
    <row r="41" ht="21" customHeight="1" s="13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  <c r="AA41" s="28" t="n"/>
      <c r="AB41" s="28" t="n"/>
      <c r="AC41" s="28" t="n"/>
      <c r="AD41" s="28" t="n"/>
    </row>
    <row r="42" ht="21" customHeight="1" s="13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</row>
    <row r="43" ht="21" customHeight="1" s="13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</row>
    <row r="44" ht="21" customHeight="1" s="13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</row>
    <row r="45" ht="21" customHeight="1" s="13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  <c r="AA45" s="28" t="n"/>
      <c r="AB45" s="28" t="n"/>
      <c r="AC45" s="28" t="n"/>
      <c r="AD45" s="28" t="n"/>
    </row>
    <row r="46" ht="21" customHeight="1" s="13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</row>
    <row r="47" ht="21" customHeight="1" s="13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  <c r="AA47" s="28" t="n"/>
      <c r="AB47" s="28" t="n"/>
      <c r="AC47" s="28" t="n"/>
      <c r="AD47" s="28" t="n"/>
    </row>
    <row r="48" ht="21" customHeight="1" s="13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  <c r="AA48" s="28" t="n"/>
      <c r="AB48" s="28" t="n"/>
      <c r="AC48" s="28" t="n"/>
      <c r="AD48" s="28" t="n"/>
    </row>
    <row r="49" ht="21" customHeight="1" s="13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  <c r="AA49" s="28" t="n"/>
      <c r="AB49" s="28" t="n"/>
      <c r="AC49" s="28" t="n"/>
      <c r="AD49" s="28" t="n"/>
    </row>
    <row r="50" ht="21" customHeight="1" s="13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  <c r="AA50" s="28" t="n"/>
      <c r="AB50" s="28" t="n"/>
      <c r="AC50" s="28" t="n"/>
      <c r="AD50" s="28" t="n"/>
    </row>
    <row r="51" ht="21" customHeight="1" s="13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</row>
    <row r="52" ht="21" customHeight="1" s="13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</row>
    <row r="53" ht="21" customHeight="1" s="13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</row>
    <row r="54" ht="21" customHeight="1" s="13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</row>
    <row r="55" ht="21" customHeight="1" s="13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</row>
    <row r="56" ht="21" customHeight="1" s="13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  <c r="AA56" s="28" t="n"/>
      <c r="AB56" s="28" t="n"/>
      <c r="AC56" s="28" t="n"/>
      <c r="AD56" s="28" t="n"/>
    </row>
    <row r="57" ht="21" customHeight="1" s="13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</row>
    <row r="58" ht="21" customHeight="1" s="13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</row>
    <row r="59" ht="21" customHeight="1" s="13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  <c r="AA59" s="28" t="n"/>
      <c r="AB59" s="28" t="n"/>
      <c r="AC59" s="28" t="n"/>
      <c r="AD59" s="28" t="n"/>
    </row>
    <row r="60" ht="21" customHeight="1" s="13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  <c r="AA60" s="28" t="n"/>
      <c r="AB60" s="28" t="n"/>
      <c r="AC60" s="28" t="n"/>
      <c r="AD60" s="28" t="n"/>
    </row>
    <row r="61" ht="21" customHeight="1" s="13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</row>
    <row r="62" ht="21" customHeight="1" s="13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  <c r="AA62" s="28" t="n"/>
      <c r="AB62" s="28" t="n"/>
      <c r="AC62" s="28" t="n"/>
      <c r="AD62" s="28" t="n"/>
    </row>
    <row r="63" ht="21" customHeight="1" s="13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</row>
    <row r="64" ht="21" customHeight="1" s="13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</row>
    <row r="65" ht="21" customHeight="1" s="13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</row>
    <row r="66" ht="21" customHeight="1" s="13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</row>
    <row r="67" ht="21" customHeight="1" s="13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</row>
    <row r="68" ht="21" customHeight="1" s="13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</row>
    <row r="69" ht="21" customHeight="1" s="13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  <c r="AA69" s="28" t="n"/>
      <c r="AB69" s="28" t="n"/>
      <c r="AC69" s="28" t="n"/>
      <c r="AD69" s="28" t="n"/>
    </row>
    <row r="70" ht="21" customHeight="1" s="13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  <c r="AA70" s="28" t="n"/>
      <c r="AB70" s="28" t="n"/>
      <c r="AC70" s="28" t="n"/>
      <c r="AD70" s="28" t="n"/>
    </row>
  </sheetData>
  <autoFilter ref="A1:D7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2026-08-10T09:58:25Z</dcterms:created>
  <dcterms:modified xsi:type="dcterms:W3CDTF">2026-08-10T10:41:49Z</dcterms:modified>
  <cp:revision>2</cp:revision>
</cp:coreProperties>
</file>