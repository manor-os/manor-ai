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696bee5f8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tiatives" sheetId="1" r:id="R5fede899ad0d4b8d"/>
    <x:sheet xmlns:r="http://schemas.openxmlformats.org/officeDocument/2006/relationships" name="Roadmap" sheetId="2" r:id="Radd73b1cbe3c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mmm yyyy"/>
    <x:numFmt numFmtId="202" formatCode="0%"/>
    <x:numFmt numFmtId="203" formatCode="#,##0"/>
    <x:numFmt numFmtId="204" formatCode="mmm"/>
  </x:numFmts>
  <x:fonts count="17">
    <x:font>
      <x:sz val="11"/>
      <x:name val="Carlito"/>
    </x:font>
    <x:font>
      <x:b/>
      <x:sz val="19"/>
      <x:color rgb="FFFFFFFF"/>
      <x:name val="Arial"/>
    </x:font>
    <x:font>
      <x:i/>
      <x:sz val="9"/>
      <x:color rgb="FF667085"/>
      <x:name val="Carlito"/>
    </x:font>
    <x:font>
      <x:b/>
      <x:sz val="9"/>
      <x:color rgb="FFFFFFFF"/>
      <x:name val="Carlito"/>
    </x:font>
    <x:font>
      <x:sz val="9"/>
      <x:color rgb="FF1F2933"/>
      <x:name val="Carlito"/>
    </x:font>
    <x:font>
      <x:b/>
      <x:sz val="9"/>
      <x:color rgb="FF436B65"/>
      <x:name val="Carlito"/>
    </x:font>
    <x:font>
      <x:sz val="9"/>
      <x:color rgb="FF1F2933"/>
      <x:name val="Arial"/>
    </x:font>
    <x:font>
      <x:b/>
      <x:sz val="22"/>
      <x:color rgb="FFFFFFFF"/>
      <x:name val="Arial"/>
    </x:font>
    <x:font>
      <x:b/>
      <x:sz val="9"/>
      <x:color rgb="FFFFFFFF"/>
      <x:name val="Arial"/>
    </x:font>
    <x:font>
      <x:b/>
      <x:sz val="8"/>
      <x:color rgb="FF436B65"/>
      <x:name val="Arial"/>
    </x:font>
    <x:font>
      <x:b/>
      <x:sz val="22"/>
      <x:color rgb="FF1F2933"/>
      <x:name val="Arial"/>
    </x:font>
    <x:font>
      <x:b/>
      <x:sz val="8"/>
      <x:color rgb="FFD97A5F"/>
      <x:name val="Arial"/>
    </x:font>
    <x:font>
      <x:b/>
      <x:sz val="9"/>
      <x:color rgb="FF765220"/>
      <x:name val="Arial"/>
    </x:font>
    <x:font>
      <x:b/>
      <x:sz val="8"/>
      <x:color rgb="FFFFFFFF"/>
      <x:name val="Arial"/>
    </x:font>
    <x:font>
      <x:sz val="8"/>
      <x:color rgb="FF1F2933"/>
      <x:name val="Arial"/>
    </x:font>
    <x:font>
      <x:sz val="12"/>
      <x:color rgb="FF436B65"/>
      <x:name val="Arial"/>
    </x:font>
    <x:font>
      <x:b/>
      <x:sz val="10"/>
      <x:color rgb="FF557FA3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7EEF5"/>
      </x:patternFill>
    </x:fill>
    <x:fill>
      <x:patternFill patternType="solid">
        <x:fgColor rgb="FF436B65"/>
      </x:patternFill>
    </x:fill>
    <x:fill>
      <x:patternFill patternType="solid">
        <x:fgColor rgb="FFEDF4FA"/>
      </x:patternFill>
    </x:fill>
    <x:fill>
      <x:patternFill patternType="solid">
        <x:fgColor rgb="FFEAF2F0"/>
      </x:patternFill>
    </x:fill>
    <x:fill>
      <x:patternFill patternType="solid">
        <x:fgColor rgb="FFFBFAF7"/>
      </x:patternFill>
    </x:fill>
    <x:fill>
      <x:patternFill patternType="solid">
        <x:fgColor rgb="FFFFFFFF"/>
      </x:patternFill>
    </x:fill>
    <x:fill>
      <x:patternFill patternType="solid">
        <x:fgColor rgb="FFF8E9E4"/>
      </x:patternFill>
    </x:fill>
    <x:fill>
      <x:patternFill patternType="solid">
        <x:fgColor rgb="FFF8F0DF"/>
      </x:patternFill>
    </x:fill>
    <x:fill>
      <x:patternFill patternType="solid">
        <x:fgColor rgb="FFF1EFEB"/>
      </x:patternFill>
    </x:fill>
  </x:fills>
  <x:borders count="9">
    <x:border/>
    <x:border>
      <x:left style="thin">
        <x:color rgb="FFE7E3DC"/>
      </x:left>
      <x:top style="thin">
        <x:color rgb="FFE7E3DC"/>
      </x:top>
    </x:border>
    <x:border>
      <x:top style="thin">
        <x:color rgb="FFE7E3DC"/>
      </x:top>
    </x:border>
    <x:border>
      <x:right style="thin">
        <x:color rgb="FFE7E3DC"/>
      </x:right>
      <x:top style="thin">
        <x:color rgb="FFE7E3DC"/>
      </x:top>
    </x:border>
    <x:border>
      <x:left style="thin">
        <x:color rgb="FFE7E3DC"/>
      </x:left>
      <x:bottom style="thin">
        <x:color rgb="FFE7E3DC"/>
      </x:bottom>
    </x:border>
    <x:border>
      <x:bottom style="thin">
        <x:color rgb="FFE7E3DC"/>
      </x:bottom>
    </x:border>
    <x:border>
      <x:right style="thin">
        <x:color rgb="FFE7E3DC"/>
      </x:right>
      <x:bottom style="thin">
        <x:color rgb="FFE7E3DC"/>
      </x:bottom>
    </x:border>
    <x:border>
      <x:top style="thin">
        <x:color rgb="FFE7E3DC"/>
      </x:top>
      <x:bottom style="thin">
        <x:color rgb="FFE7E3D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201" fontId="4" fillId="5" borderId="0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vertical="center"/>
    </x:xf>
    <x:xf numFmtId="0" fontId="10" fillId="8" borderId="2" xfId="0" applyNumberFormat="1" applyFont="1" applyFill="1" applyBorder="1" applyAlignment="1">
      <x:alignment vertical="center"/>
    </x:xf>
    <x:xf numFmtId="0" fontId="10" fillId="8" borderId="3" xfId="0" applyNumberFormat="1" applyFont="1" applyFill="1" applyBorder="1" applyAlignment="1">
      <x:alignment vertical="center"/>
    </x:xf>
    <x:xf numFmtId="0" fontId="10" fillId="8" borderId="4" xfId="0" applyNumberFormat="1" applyFont="1" applyFill="1" applyBorder="1" applyAlignment="1">
      <x:alignment vertical="center"/>
    </x:xf>
    <x:xf numFmtId="0" fontId="10" fillId="8" borderId="5" xfId="0" applyNumberFormat="1" applyFont="1" applyFill="1" applyBorder="1" applyAlignment="1">
      <x:alignment vertical="center"/>
    </x:xf>
    <x:xf numFmtId="0" fontId="10" fillId="8" borderId="6" xfId="0" applyNumberFormat="1" applyFont="1" applyFill="1" applyBorder="1" applyAlignment="1">
      <x:alignment vertical="center"/>
    </x:xf>
    <x:xf numFmtId="203" fontId="10" fillId="8" borderId="1" xfId="0" applyNumberFormat="1" applyFont="1" applyFill="1" applyBorder="1" applyAlignment="1">
      <x:alignment vertical="center"/>
    </x:xf>
    <x:xf numFmtId="203" fontId="10" fillId="8" borderId="2" xfId="0" applyNumberFormat="1" applyFont="1" applyFill="1" applyBorder="1" applyAlignment="1">
      <x:alignment vertical="center"/>
    </x:xf>
    <x:xf numFmtId="203" fontId="10" fillId="8" borderId="3" xfId="0" applyNumberFormat="1" applyFont="1" applyFill="1" applyBorder="1" applyAlignment="1">
      <x:alignment vertical="center"/>
    </x:xf>
    <x:xf numFmtId="203" fontId="10" fillId="8" borderId="4" xfId="0" applyNumberFormat="1" applyFont="1" applyFill="1" applyBorder="1" applyAlignment="1">
      <x:alignment vertical="center"/>
    </x:xf>
    <x:xf numFmtId="203" fontId="10" fillId="8" borderId="5" xfId="0" applyNumberFormat="1" applyFont="1" applyFill="1" applyBorder="1" applyAlignment="1">
      <x:alignment vertical="center"/>
    </x:xf>
    <x:xf numFmtId="203" fontId="10" fillId="8" borderId="6" xfId="0" applyNumberFormat="1" applyFont="1" applyFill="1" applyBorder="1" applyAlignment="1">
      <x:alignment vertical="center"/>
    </x:xf>
    <x:xf numFmtId="203" fontId="10" fillId="8" borderId="1" xfId="0" applyNumberFormat="1" applyFont="1" applyFill="1" applyBorder="1" applyAlignment="1">
      <x:alignment horizontal="center" vertical="center"/>
    </x:xf>
    <x:xf numFmtId="203" fontId="10" fillId="8" borderId="2" xfId="0" applyNumberFormat="1" applyFont="1" applyFill="1" applyBorder="1" applyAlignment="1">
      <x:alignment horizontal="center" vertical="center"/>
    </x:xf>
    <x:xf numFmtId="203" fontId="10" fillId="8" borderId="3" xfId="0" applyNumberFormat="1" applyFont="1" applyFill="1" applyBorder="1" applyAlignment="1">
      <x:alignment horizontal="center" vertical="center"/>
    </x:xf>
    <x:xf numFmtId="203" fontId="10" fillId="8" borderId="4" xfId="0" applyNumberFormat="1" applyFont="1" applyFill="1" applyBorder="1" applyAlignment="1">
      <x:alignment horizontal="center" vertical="center"/>
    </x:xf>
    <x:xf numFmtId="203" fontId="10" fillId="8" borderId="5" xfId="0" applyNumberFormat="1" applyFont="1" applyFill="1" applyBorder="1" applyAlignment="1">
      <x:alignment horizontal="center" vertical="center"/>
    </x:xf>
    <x:xf numFmtId="203" fontId="10" fillId="8" borderId="6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horizontal="center" vertical="center"/>
    </x:xf>
    <x:xf numFmtId="202" fontId="10" fillId="8" borderId="1" xfId="0" applyNumberFormat="1" applyFont="1" applyFill="1" applyBorder="1" applyAlignment="1">
      <x:alignment vertical="center"/>
    </x:xf>
    <x:xf numFmtId="202" fontId="10" fillId="8" borderId="2" xfId="0" applyNumberFormat="1" applyFont="1" applyFill="1" applyBorder="1" applyAlignment="1">
      <x:alignment vertical="center"/>
    </x:xf>
    <x:xf numFmtId="202" fontId="10" fillId="8" borderId="3" xfId="0" applyNumberFormat="1" applyFont="1" applyFill="1" applyBorder="1" applyAlignment="1">
      <x:alignment vertical="center"/>
    </x:xf>
    <x:xf numFmtId="202" fontId="10" fillId="8" borderId="4" xfId="0" applyNumberFormat="1" applyFont="1" applyFill="1" applyBorder="1" applyAlignment="1">
      <x:alignment vertical="center"/>
    </x:xf>
    <x:xf numFmtId="202" fontId="10" fillId="8" borderId="5" xfId="0" applyNumberFormat="1" applyFont="1" applyFill="1" applyBorder="1" applyAlignment="1">
      <x:alignment vertical="center"/>
    </x:xf>
    <x:xf numFmtId="202" fontId="10" fillId="8" borderId="6" xfId="0" applyNumberFormat="1" applyFont="1" applyFill="1" applyBorder="1" applyAlignment="1">
      <x:alignment vertical="center"/>
    </x:xf>
    <x:xf numFmtId="202" fontId="10" fillId="8" borderId="1" xfId="0" applyNumberFormat="1" applyFont="1" applyFill="1" applyBorder="1" applyAlignment="1">
      <x:alignment horizontal="center" vertical="center"/>
    </x:xf>
    <x:xf numFmtId="202" fontId="10" fillId="8" borderId="2" xfId="0" applyNumberFormat="1" applyFont="1" applyFill="1" applyBorder="1" applyAlignment="1">
      <x:alignment horizontal="center" vertical="center"/>
    </x:xf>
    <x:xf numFmtId="202" fontId="10" fillId="8" borderId="3" xfId="0" applyNumberFormat="1" applyFont="1" applyFill="1" applyBorder="1" applyAlignment="1">
      <x:alignment horizontal="center" vertical="center"/>
    </x:xf>
    <x:xf numFmtId="202" fontId="10" fillId="8" borderId="4" xfId="0" applyNumberFormat="1" applyFont="1" applyFill="1" applyBorder="1" applyAlignment="1">
      <x:alignment horizontal="center" vertical="center"/>
    </x:xf>
    <x:xf numFmtId="202" fontId="10" fillId="8" borderId="5" xfId="0" applyNumberFormat="1" applyFont="1" applyFill="1" applyBorder="1" applyAlignment="1">
      <x:alignment horizontal="center" vertical="center"/>
    </x:xf>
    <x:xf numFmtId="202" fontId="10" fillId="8" borderId="6" xfId="0" applyNumberFormat="1" applyFont="1" applyFill="1" applyBorder="1" applyAlignment="1">
      <x:alignment horizontal="center" vertical="center"/>
    </x:xf>
    <x:xf numFmtId="200" fontId="10" fillId="8" borderId="1" xfId="0" applyNumberFormat="1" applyFont="1" applyFill="1" applyBorder="1" applyAlignment="1">
      <x:alignment vertical="center"/>
    </x:xf>
    <x:xf numFmtId="200" fontId="10" fillId="8" borderId="2" xfId="0" applyNumberFormat="1" applyFont="1" applyFill="1" applyBorder="1" applyAlignment="1">
      <x:alignment vertical="center"/>
    </x:xf>
    <x:xf numFmtId="200" fontId="10" fillId="8" borderId="3" xfId="0" applyNumberFormat="1" applyFont="1" applyFill="1" applyBorder="1" applyAlignment="1">
      <x:alignment vertical="center"/>
    </x:xf>
    <x:xf numFmtId="200" fontId="10" fillId="8" borderId="4" xfId="0" applyNumberFormat="1" applyFont="1" applyFill="1" applyBorder="1" applyAlignment="1">
      <x:alignment vertical="center"/>
    </x:xf>
    <x:xf numFmtId="200" fontId="10" fillId="8" borderId="5" xfId="0" applyNumberFormat="1" applyFont="1" applyFill="1" applyBorder="1" applyAlignment="1">
      <x:alignment vertical="center"/>
    </x:xf>
    <x:xf numFmtId="200" fontId="10" fillId="8" borderId="6" xfId="0" applyNumberFormat="1" applyFont="1" applyFill="1" applyBorder="1" applyAlignment="1">
      <x:alignment vertical="center"/>
    </x:xf>
    <x:xf numFmtId="200" fontId="10" fillId="8" borderId="1" xfId="0" applyNumberFormat="1" applyFont="1" applyFill="1" applyBorder="1" applyAlignment="1">
      <x:alignment horizontal="center" vertical="center"/>
    </x:xf>
    <x:xf numFmtId="200" fontId="10" fillId="8" borderId="2" xfId="0" applyNumberFormat="1" applyFont="1" applyFill="1" applyBorder="1" applyAlignment="1">
      <x:alignment horizontal="center" vertical="center"/>
    </x:xf>
    <x:xf numFmtId="200" fontId="10" fillId="8" borderId="3" xfId="0" applyNumberFormat="1" applyFont="1" applyFill="1" applyBorder="1" applyAlignment="1">
      <x:alignment horizontal="center" vertical="center"/>
    </x:xf>
    <x:xf numFmtId="200" fontId="10" fillId="8" borderId="4" xfId="0" applyNumberFormat="1" applyFont="1" applyFill="1" applyBorder="1" applyAlignment="1">
      <x:alignment horizontal="center" vertical="center"/>
    </x:xf>
    <x:xf numFmtId="200" fontId="10" fillId="8" borderId="5" xfId="0" applyNumberFormat="1" applyFont="1" applyFill="1" applyBorder="1" applyAlignment="1">
      <x:alignment horizontal="center" vertical="center"/>
    </x:xf>
    <x:xf numFmtId="200" fontId="10" fillId="8" borderId="6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 applyAlignment="1">
      <x:alignment horizontal="center" vertical="center"/>
    </x:xf>
    <x:xf numFmtId="204" fontId="13" fillId="2" borderId="0" xfId="0" applyNumberFormat="1" applyFont="1" applyFill="1" applyBorder="1" applyAlignment="1">
      <x:alignment horizontal="center" vertical="center"/>
    </x:xf>
    <x:xf numFmtId="0" fontId="14" fillId="8" borderId="0" xfId="0" applyNumberFormat="1" applyFont="1" applyFill="1" applyBorder="1" applyAlignment="1">
      <x:alignment vertical="center"/>
    </x:xf>
    <x:xf numFmtId="0" fontId="14" fillId="8" borderId="5" xfId="0" applyNumberFormat="1" applyFont="1" applyFill="1" applyBorder="1" applyAlignment="1">
      <x:alignment vertical="center"/>
    </x:xf>
    <x:xf numFmtId="0" fontId="14" fillId="8" borderId="7" xfId="0" applyNumberFormat="1" applyFont="1" applyFill="1" applyBorder="1" applyAlignment="1">
      <x:alignment vertical="center"/>
    </x:xf>
    <x:xf numFmtId="0" fontId="14" fillId="8" borderId="2" xfId="0" applyNumberFormat="1" applyFont="1" applyFill="1" applyBorder="1" applyAlignment="1">
      <x:alignment vertical="center"/>
    </x:xf>
    <x:xf numFmtId="0" fontId="14" fillId="8" borderId="5" xfId="0" applyNumberFormat="1" applyFont="1" applyFill="1" applyBorder="1" applyAlignment="1">
      <x:alignment vertical="center" wrapText="1"/>
    </x:xf>
    <x:xf numFmtId="0" fontId="14" fillId="8" borderId="7" xfId="0" applyNumberFormat="1" applyFont="1" applyFill="1" applyBorder="1" applyAlignment="1">
      <x:alignment vertical="center" wrapText="1"/>
    </x:xf>
    <x:xf numFmtId="0" fontId="14" fillId="8" borderId="2" xfId="0" applyNumberFormat="1" applyFont="1" applyFill="1" applyBorder="1" applyAlignment="1">
      <x:alignment vertical="center" wrapText="1"/>
    </x:xf>
    <x:xf numFmtId="200" fontId="14" fillId="8" borderId="5" xfId="0" applyNumberFormat="1" applyFont="1" applyFill="1" applyBorder="1" applyAlignment="1">
      <x:alignment vertical="center"/>
    </x:xf>
    <x:xf numFmtId="200" fontId="14" fillId="8" borderId="7" xfId="0" applyNumberFormat="1" applyFont="1" applyFill="1" applyBorder="1" applyAlignment="1">
      <x:alignment vertical="center"/>
    </x:xf>
    <x:xf numFmtId="200" fontId="14" fillId="8" borderId="2" xfId="0" applyNumberFormat="1" applyFont="1" applyFill="1" applyBorder="1" applyAlignment="1">
      <x:alignment vertical="center"/>
    </x:xf>
    <x:xf numFmtId="204" fontId="14" fillId="8" borderId="5" xfId="0" applyNumberFormat="1" applyFont="1" applyFill="1" applyBorder="1" applyAlignment="1">
      <x:alignment vertical="center"/>
    </x:xf>
    <x:xf numFmtId="204" fontId="14" fillId="8" borderId="7" xfId="0" applyNumberFormat="1" applyFont="1" applyFill="1" applyBorder="1" applyAlignment="1">
      <x:alignment vertical="center"/>
    </x:xf>
    <x:xf numFmtId="204" fontId="14" fillId="8" borderId="2" xfId="0" applyNumberFormat="1" applyFont="1" applyFill="1" applyBorder="1" applyAlignment="1">
      <x:alignment vertical="center"/>
    </x:xf>
    <x:xf numFmtId="0" fontId="14" fillId="11" borderId="5" xfId="0" applyNumberFormat="1" applyFont="1" applyFill="1" applyBorder="1" applyAlignment="1">
      <x:alignment vertical="center"/>
    </x:xf>
    <x:xf numFmtId="0" fontId="14" fillId="11" borderId="7" xfId="0" applyNumberFormat="1" applyFont="1" applyFill="1" applyBorder="1" applyAlignment="1">
      <x:alignment vertical="center"/>
    </x:xf>
    <x:xf numFmtId="0" fontId="14" fillId="11" borderId="2" xfId="0" applyNumberFormat="1" applyFont="1" applyFill="1" applyBorder="1" applyAlignment="1">
      <x:alignment vertical="center"/>
    </x:xf>
    <x:xf numFmtId="0" fontId="15" fillId="11" borderId="5" xfId="0" applyNumberFormat="1" applyFont="1" applyFill="1" applyBorder="1" applyAlignment="1">
      <x:alignment vertical="center"/>
    </x:xf>
    <x:xf numFmtId="0" fontId="15" fillId="11" borderId="7" xfId="0" applyNumberFormat="1" applyFont="1" applyFill="1" applyBorder="1" applyAlignment="1">
      <x:alignment vertical="center"/>
    </x:xf>
    <x:xf numFmtId="0" fontId="15" fillId="11" borderId="2" xfId="0" applyNumberFormat="1" applyFont="1" applyFill="1" applyBorder="1" applyAlignment="1">
      <x:alignment vertical="center"/>
    </x:xf>
    <x:xf numFmtId="0" fontId="15" fillId="11" borderId="8" xfId="0" applyNumberFormat="1" applyFont="1" applyFill="1" applyBorder="1" applyAlignment="1">
      <x:alignment vertical="center"/>
    </x:xf>
    <x:xf numFmtId="0" fontId="15" fillId="11" borderId="8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vertical="center"/>
    </x:xf>
    <x:xf numFmtId="0" fontId="16" fillId="3" borderId="0" xfId="0" applyNumberFormat="1" applyFont="1" applyFill="1" applyBorder="1" applyAlignment="1">
      <x:alignment vertical="center"/>
    </x:xf>
    <x:xf numFmtId="0" fontId="16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9E3F2B"/>
      </x:font>
      <x:fill>
        <x:patternFill patternType="solid">
          <x:bgColor rgb="FFF8E9E4"/>
        </x:patternFill>
      </x:fill>
    </x:dxf>
    <x:dxf>
      <x:font>
        <x:b/>
        <x:color rgb="FF436B65"/>
      </x:font>
      <x:fill>
        <x:patternFill patternType="solid">
          <x:bgColor rgb="FFEAF2F0"/>
        </x:patternFill>
      </x:fill>
    </x:dxf>
    <x:dxf>
      <x:font>
        <x:b/>
        <x:color rgb="FF9E3F2B"/>
      </x:font>
      <x:fill>
        <x:patternFill patternType="solid">
          <x:bgColor rgb="FFF8E9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3b580287f49ff" /><Relationship Type="http://schemas.openxmlformats.org/officeDocument/2006/relationships/theme" Target="/xl/theme/theme1.xml" Id="R41ce2ddd639c42f2" /><Relationship Type="http://schemas.openxmlformats.org/officeDocument/2006/relationships/sharedStrings" Target="/xl/sharedStrings.xml" Id="R0524ae070f4649d4" /><Relationship Type="http://schemas.openxmlformats.org/officeDocument/2006/relationships/worksheet" Target="/xl/worksheets/sheet1.xml" Id="R5fede899ad0d4b8d" /><Relationship Type="http://schemas.openxmlformats.org/officeDocument/2006/relationships/worksheet" Target="/xl/worksheets/sheet2.xml" Id="Radd73b1cbe3c4822" /></Relationships>
</file>

<file path=xl/tables/table1.xml><?xml version="1.0" encoding="utf-8"?>
<x:table xmlns:x="http://schemas.openxmlformats.org/spreadsheetml/2006/main" id="1" name="AtlasInitiativesTable" displayName="AtlasInitiativesTable" ref="A4:M12" headerRowCount="1" totalsRowCount="0" totalsRowShown="0">
  <x:autoFilter ref="A4:M12"/>
  <x:tableColumns count="13">
    <x:tableColumn id="1" name="ID"/>
    <x:tableColumn id="2" name="Initiative"/>
    <x:tableColumn id="3" name="Workstream"/>
    <x:tableColumn id="4" name="Owner"/>
    <x:tableColumn id="5" name="Stage"/>
    <x:tableColumn id="6" name="Impact"/>
    <x:tableColumn id="7" name="Confidence"/>
    <x:tableColumn id="8" name="Effort"/>
    <x:tableColumn id="9" name="Start"/>
    <x:tableColumn id="10" name="Target"/>
    <x:tableColumn id="11" name="Progress"/>
    <x:tableColumn id="12" name="Decision / blocker"/>
    <x:tableColumn id="13" name="Priority 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b93561d89749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21.110000610351562" hidden="0" customWidth="1"/>
    <x:col min="3" max="3" width="11.109999656677246" hidden="0" customWidth="1"/>
    <x:col min="4" max="4" width="10" hidden="0" customWidth="1"/>
    <x:col min="5" max="5" width="10" hidden="0" customWidth="1"/>
    <x:col min="6" max="6" width="6.670000076293945" hidden="0" customWidth="1"/>
    <x:col min="7" max="7" width="8.670000076293945" hidden="0" customWidth="1"/>
    <x:col min="8" max="8" width="6.670000076293945" hidden="0" customWidth="1"/>
    <x:col min="9" max="9" width="10.220000267028809" hidden="0" customWidth="1"/>
    <x:col min="10" max="10" width="10.220000267028809" hidden="0" customWidth="1"/>
    <x:col min="11" max="11" width="8.329999923706055" hidden="0" customWidth="1"/>
    <x:col min="12" max="12" width="25.559999465942383" hidden="0" customWidth="1"/>
    <x:col min="13" max="13" width="10" hidden="0" customWidth="1"/>
  </x:cols>
  <x:sheetData>
    <x:row r="1" ht="24" customHeight="1">
      <x:c r="A1" s="3" t="str">
        <x:v>Atlas Product Development — Initiative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18.75" customHeight="1">
      <x:c r="A3" s="5" t="str">
        <x:v>Blue cells are editable. Priority score and timeline update the Roadmap sheet automatically.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2.5" customHeight="1">
      <x:c r="A4" s="8" t="str">
        <x:v>ID</x:v>
      </x:c>
      <x:c r="B4" s="8" t="str">
        <x:v>Initiative</x:v>
      </x:c>
      <x:c r="C4" s="8" t="str">
        <x:v>Workstream</x:v>
      </x:c>
      <x:c r="D4" s="8" t="str">
        <x:v>Owner</x:v>
      </x:c>
      <x:c r="E4" s="8" t="str">
        <x:v>Stage</x:v>
      </x:c>
      <x:c r="F4" s="8" t="str">
        <x:v>Impact</x:v>
      </x:c>
      <x:c r="G4" s="8" t="str">
        <x:v>Confidence</x:v>
      </x:c>
      <x:c r="H4" s="8" t="str">
        <x:v>Effort</x:v>
      </x:c>
      <x:c r="I4" s="8" t="str">
        <x:v>Start</x:v>
      </x:c>
      <x:c r="J4" s="8" t="str">
        <x:v>Target</x:v>
      </x:c>
      <x:c r="K4" s="8" t="str">
        <x:v>Progress</x:v>
      </x:c>
      <x:c r="L4" s="8" t="str">
        <x:v>Decision / blocker</x:v>
      </x:c>
      <x:c r="M4" s="8" t="str">
        <x:v>Priority score</x:v>
      </x:c>
    </x:row>
    <x:row r="5" ht="21" customHeight="1">
      <x:c r="A5" s="11" t="str">
        <x:v>PD-101</x:v>
      </x:c>
      <x:c r="B5" s="11" t="str">
        <x:v>Guided onboarding</x:v>
      </x:c>
      <x:c r="C5" s="11" t="str">
        <x:v>Activation</x:v>
      </x:c>
      <x:c r="D5" s="11" t="str">
        <x:v>Maya</x:v>
      </x:c>
      <x:c r="E5" s="11" t="str">
        <x:v>Build</x:v>
      </x:c>
      <x:c r="F5" s="11" t="n">
        <x:v>5</x:v>
      </x:c>
      <x:c r="G5" s="11" t="n">
        <x:v>4</x:v>
      </x:c>
      <x:c r="H5" s="11" t="n">
        <x:v>3</x:v>
      </x:c>
      <x:c r="I5" s="15" t="n">
        <x:v>46235</x:v>
      </x:c>
      <x:c r="J5" s="15" t="n">
        <x:v>46296</x:v>
      </x:c>
      <x:c r="K5" s="16" t="n">
        <x:v>0.62</x:v>
      </x:c>
      <x:c r="L5" s="11" t="str">
        <x:v>Resolve analytics event schema</x:v>
      </x:c>
      <x:c r="M5" s="14" t="n">
        <x:f>F5*G5/H5</x:f>
        <x:v>6.666666666666667</x:v>
      </x:c>
    </x:row>
    <x:row r="6" ht="21" customHeight="1">
      <x:c r="A6" s="11" t="str">
        <x:v>PD-102</x:v>
      </x:c>
      <x:c r="B6" s="11" t="str">
        <x:v>Team permissions</x:v>
      </x:c>
      <x:c r="C6" s="11" t="str">
        <x:v>Core</x:v>
      </x:c>
      <x:c r="D6" s="11" t="str">
        <x:v>Ethan</x:v>
      </x:c>
      <x:c r="E6" s="11" t="str">
        <x:v>Design</x:v>
      </x:c>
      <x:c r="F6" s="11" t="n">
        <x:v>4</x:v>
      </x:c>
      <x:c r="G6" s="11" t="n">
        <x:v>5</x:v>
      </x:c>
      <x:c r="H6" s="11" t="n">
        <x:v>3</x:v>
      </x:c>
      <x:c r="I6" s="15" t="n">
        <x:v>46235</x:v>
      </x:c>
      <x:c r="J6" s="15" t="n">
        <x:v>46266</x:v>
      </x:c>
      <x:c r="K6" s="16" t="n">
        <x:v>0.35</x:v>
      </x:c>
      <x:c r="L6" s="11" t="str">
        <x:v>Approve role matrix</x:v>
      </x:c>
      <x:c r="M6" s="14" t="n">
        <x:f>F6*G6/H6</x:f>
        <x:v>6.666666666666667</x:v>
      </x:c>
    </x:row>
    <x:row r="7" ht="21" customHeight="1">
      <x:c r="A7" s="11" t="str">
        <x:v>PD-103</x:v>
      </x:c>
      <x:c r="B7" s="11" t="str">
        <x:v>Usage insights</x:v>
      </x:c>
      <x:c r="C7" s="11" t="str">
        <x:v>Growth</x:v>
      </x:c>
      <x:c r="D7" s="11" t="str">
        <x:v>Lina</x:v>
      </x:c>
      <x:c r="E7" s="11" t="str">
        <x:v>Discovery</x:v>
      </x:c>
      <x:c r="F7" s="11" t="n">
        <x:v>5</x:v>
      </x:c>
      <x:c r="G7" s="11" t="n">
        <x:v>3</x:v>
      </x:c>
      <x:c r="H7" s="11" t="n">
        <x:v>2</x:v>
      </x:c>
      <x:c r="I7" s="15" t="n">
        <x:v>46266</x:v>
      </x:c>
      <x:c r="J7" s="15" t="n">
        <x:v>46327</x:v>
      </x:c>
      <x:c r="K7" s="16" t="n">
        <x:v>0.18</x:v>
      </x:c>
      <x:c r="L7" s="11" t="str">
        <x:v>Interview ten operators</x:v>
      </x:c>
      <x:c r="M7" s="14" t="n">
        <x:f>F7*G7/H7</x:f>
        <x:v>7.5</x:v>
      </x:c>
    </x:row>
    <x:row r="8" ht="21" customHeight="1">
      <x:c r="A8" s="11" t="str">
        <x:v>PD-104</x:v>
      </x:c>
      <x:c r="B8" s="11" t="str">
        <x:v>Mobile approvals</x:v>
      </x:c>
      <x:c r="C8" s="11" t="str">
        <x:v>Platform</x:v>
      </x:c>
      <x:c r="D8" s="11" t="str">
        <x:v>Noah</x:v>
      </x:c>
      <x:c r="E8" s="11" t="str">
        <x:v>Validation</x:v>
      </x:c>
      <x:c r="F8" s="11" t="n">
        <x:v>3</x:v>
      </x:c>
      <x:c r="G8" s="11" t="n">
        <x:v>4</x:v>
      </x:c>
      <x:c r="H8" s="11" t="n">
        <x:v>2</x:v>
      </x:c>
      <x:c r="I8" s="15" t="n">
        <x:v>46204</x:v>
      </x:c>
      <x:c r="J8" s="15" t="n">
        <x:v>46266</x:v>
      </x:c>
      <x:c r="K8" s="16" t="n">
        <x:v>0.82</x:v>
      </x:c>
      <x:c r="L8" s="11" t="str">
        <x:v>Close accessibility review</x:v>
      </x:c>
      <x:c r="M8" s="14" t="n">
        <x:f>F8*G8/H8</x:f>
        <x:v>6</x:v>
      </x:c>
    </x:row>
    <x:row r="9" ht="21" customHeight="1">
      <x:c r="A9" s="11" t="str">
        <x:v>PD-105</x:v>
      </x:c>
      <x:c r="B9" s="11" t="str">
        <x:v>Billing portal</x:v>
      </x:c>
      <x:c r="C9" s="11" t="str">
        <x:v>Core</x:v>
      </x:c>
      <x:c r="D9" s="11" t="str">
        <x:v>Priya</x:v>
      </x:c>
      <x:c r="E9" s="11" t="str">
        <x:v>Build</x:v>
      </x:c>
      <x:c r="F9" s="11" t="n">
        <x:v>4</x:v>
      </x:c>
      <x:c r="G9" s="11" t="n">
        <x:v>4</x:v>
      </x:c>
      <x:c r="H9" s="11" t="n">
        <x:v>4</x:v>
      </x:c>
      <x:c r="I9" s="15" t="n">
        <x:v>46296</x:v>
      </x:c>
      <x:c r="J9" s="15" t="n">
        <x:v>46357</x:v>
      </x:c>
      <x:c r="K9" s="16" t="n">
        <x:v>0.48</x:v>
      </x:c>
      <x:c r="L9" s="11" t="str">
        <x:v>Connect invoice export</x:v>
      </x:c>
      <x:c r="M9" s="14" t="n">
        <x:f>F9*G9/H9</x:f>
        <x:v>4</x:v>
      </x:c>
    </x:row>
    <x:row r="10" ht="21" customHeight="1">
      <x:c r="A10" s="11" t="str">
        <x:v>PD-106</x:v>
      </x:c>
      <x:c r="B10" s="11" t="str">
        <x:v>AI search</x:v>
      </x:c>
      <x:c r="C10" s="11" t="str">
        <x:v>Platform</x:v>
      </x:c>
      <x:c r="D10" s="11" t="str">
        <x:v>Diego</x:v>
      </x:c>
      <x:c r="E10" s="11" t="str">
        <x:v>Blocked</x:v>
      </x:c>
      <x:c r="F10" s="11" t="n">
        <x:v>5</x:v>
      </x:c>
      <x:c r="G10" s="11" t="n">
        <x:v>3</x:v>
      </x:c>
      <x:c r="H10" s="11" t="n">
        <x:v>5</x:v>
      </x:c>
      <x:c r="I10" s="15" t="n">
        <x:v>46266</x:v>
      </x:c>
      <x:c r="J10" s="15" t="n">
        <x:v>46357</x:v>
      </x:c>
      <x:c r="K10" s="16" t="n">
        <x:v>0.27</x:v>
      </x:c>
      <x:c r="L10" s="11" t="str">
        <x:v>Decide retrieval architecture</x:v>
      </x:c>
      <x:c r="M10" s="14" t="n">
        <x:f>F10*G10/H10</x:f>
        <x:v>3</x:v>
      </x:c>
    </x:row>
    <x:row r="11" ht="21" customHeight="1">
      <x:c r="A11" s="11" t="str">
        <x:v>PD-107</x:v>
      </x:c>
      <x:c r="B11" s="11" t="str">
        <x:v>Shared templates</x:v>
      </x:c>
      <x:c r="C11" s="11" t="str">
        <x:v>Growth</x:v>
      </x:c>
      <x:c r="D11" s="11" t="str">
        <x:v>Maya</x:v>
      </x:c>
      <x:c r="E11" s="11" t="str">
        <x:v>Design</x:v>
      </x:c>
      <x:c r="F11" s="11" t="n">
        <x:v>3</x:v>
      </x:c>
      <x:c r="G11" s="11" t="n">
        <x:v>5</x:v>
      </x:c>
      <x:c r="H11" s="11" t="n">
        <x:v>2</x:v>
      </x:c>
      <x:c r="I11" s="15" t="n">
        <x:v>46327</x:v>
      </x:c>
      <x:c r="J11" s="15" t="n">
        <x:v>46388</x:v>
      </x:c>
      <x:c r="K11" s="16" t="n">
        <x:v>0.41</x:v>
      </x:c>
      <x:c r="L11" s="11" t="str">
        <x:v>Test gallery taxonomy</x:v>
      </x:c>
      <x:c r="M11" s="14" t="n">
        <x:f>F11*G11/H11</x:f>
        <x:v>7.5</x:v>
      </x:c>
    </x:row>
    <x:row r="12" ht="21" customHeight="1">
      <x:c r="A12" s="11" t="str">
        <x:v>PD-108</x:v>
      </x:c>
      <x:c r="B12" s="11" t="str">
        <x:v>Audit export</x:v>
      </x:c>
      <x:c r="C12" s="11" t="str">
        <x:v>Platform</x:v>
      </x:c>
      <x:c r="D12" s="11" t="str">
        <x:v>Ethan</x:v>
      </x:c>
      <x:c r="E12" s="11" t="str">
        <x:v>Shipped</x:v>
      </x:c>
      <x:c r="F12" s="11" t="n">
        <x:v>2</x:v>
      </x:c>
      <x:c r="G12" s="11" t="n">
        <x:v>5</x:v>
      </x:c>
      <x:c r="H12" s="11" t="n">
        <x:v>2</x:v>
      </x:c>
      <x:c r="I12" s="15" t="n">
        <x:v>46174</x:v>
      </x:c>
      <x:c r="J12" s="15" t="n">
        <x:v>46235</x:v>
      </x:c>
      <x:c r="K12" s="16" t="n">
        <x:v>1</x:v>
      </x:c>
      <x:c r="L12" s="11" t="str">
        <x:v>Monitor adoption</x:v>
      </x:c>
      <x:c r="M12" s="14" t="n">
        <x:f>F12*G12/H12</x:f>
        <x:v>5</x:v>
      </x:c>
    </x:row>
  </x:sheetData>
  <x:mergeCells>
    <x:mergeCell ref="A1:M2"/>
    <x:mergeCell ref="A3:M3"/>
  </x:mergeCells>
  <x:conditionalFormatting sqref="E5:E40">
    <x:cfRule type="containsText" dxfId="0" priority="1" operator="containsText" text="Blocked"/>
  </x:conditionalFormatting>
  <x:conditionalFormatting sqref="K5:K40">
    <x:cfRule type="dataBar" priority="2">
      <x:dataBar>
        <x:cfvo type="min"/>
        <x:cfvo type="max"/>
        <x:color rgb="FF436B65"/>
      </x:dataBar>
      <x:extLst>
        <x:ext xmlns:x14="http://schemas.microsoft.com/office/spreadsheetml/2009/9/main" uri="{B025F937-C7B1-47D3-B67F-A62EFF666E3E}">
          <x14:id>{2EC274D4-A579-0349-D168-2D10EC004827}</x14:id>
        </x:ext>
      </x:extLst>
    </x:cfRule>
  </x:conditionalFormatting>
  <x:dataValidations count="2">
    <x:dataValidation type="list" sqref="E5:E40">
      <x:formula1>"Discovery,Design,Build,Validation,Shipped,Blocked"</x:formula1>
    </x:dataValidation>
    <x:dataValidation type="list" sqref="D5:D40">
      <x:formula1>"Maya,Ethan,Lina,Noah,Priya,Diego"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b93561d897491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2EC274D4-A579-0349-D168-2D10EC004827}">
            <x14:dataBar gradient="1">
              <x14:cfvo type="min"/>
              <x14:cfvo type="max"/>
              <x14:fillColor rgb="FF436B65"/>
            </x14:dataBar>
          </x14:cfRule>
          <xm:sqref>K5:K40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21.110000610351562" hidden="0" customWidth="1"/>
    <x:col min="3" max="3" width="9.109999656677246" hidden="0" customWidth="1"/>
    <x:col min="4" max="4" width="10.220000267028809" hidden="0" customWidth="1"/>
    <x:col min="5" max="5" width="7.78000020980835" hidden="0" customWidth="1"/>
    <x:col min="6" max="6" width="9.5600004196167" hidden="0" customWidth="1"/>
    <x:col min="7" max="7" width="9.5600004196167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</x:cols>
  <x:sheetData>
    <x:row r="1" ht="25.5" customHeight="1">
      <x:c r="A1" s="21" t="str">
        <x:v>Atlas Product Development Roadmap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</x:row>
    <x:row r="2" ht="22.5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</x:row>
    <x:row r="3" ht="18" customHeight="1">
      <x:c r="A3" s="23" t="str">
        <x:v>SWIMLANE ROADMAP · EDIT THE INITIATIVES SHEET TO UPDATE PRIORITIES, OWNERS, AND DATES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</x:row>
    <x:row r="4" ht="17.25" customHeight="1">
      <x:c r="A4" s="26" t="str">
        <x:v>ACTIVE</x:v>
      </x:c>
      <x:c r="B4" s="26"/>
      <x:c r="C4" s="26"/>
      <x:c r="D4" s="49" t="str">
        <x:v>BLOCKED</x:v>
      </x:c>
      <x:c r="E4" s="49"/>
      <x:c r="F4" s="49"/>
      <x:c r="G4" s="26" t="str">
        <x:v>AVG PROGRESS</x:v>
      </x:c>
      <x:c r="H4" s="26"/>
      <x:c r="I4" s="26"/>
      <x:c r="J4" s="26" t="str">
        <x:v>TOP SCORE</x:v>
      </x:c>
      <x:c r="K4" s="26"/>
      <x:c r="L4" s="26"/>
      <x:c r="M4" s="76" t="str">
        <x:v>DECISION GATE
Prioritize high-score work; unblock AI search before the November validation window.</x:v>
      </x:c>
      <x:c r="N4" s="76"/>
      <x:c r="O4" s="76"/>
    </x:row>
    <x:row r="5" ht="25.5" customHeight="1">
      <x:c r="A5" s="41" t="n">
        <x:f>COUNTA('Initiatives'!$A$5:$A$12)-COUNTIF('Initiatives'!$E$5:$E$12,"Shipped")</x:f>
        <x:v>7</x:v>
      </x:c>
      <x:c r="B5" s="42"/>
      <x:c r="C5" s="43"/>
      <x:c r="D5" s="41" t="n">
        <x:f>COUNTIF('Initiatives'!$E$5:$E$12,"Blocked")</x:f>
        <x:v>1</x:v>
      </x:c>
      <x:c r="E5" s="42"/>
      <x:c r="F5" s="43"/>
      <x:c r="G5" s="56" t="n">
        <x:f>AVERAGE('Initiatives'!$K$5:$K$12)</x:f>
        <x:v>0.51625</x:v>
      </x:c>
      <x:c r="H5" s="57"/>
      <x:c r="I5" s="58"/>
      <x:c r="J5" s="68" t="n">
        <x:f>MAX('Initiatives'!$M$5:$M$12)</x:f>
        <x:v>7.5</x:v>
      </x:c>
      <x:c r="K5" s="69"/>
      <x:c r="L5" s="70"/>
      <x:c r="M5" s="76"/>
      <x:c r="N5" s="76"/>
      <x:c r="O5" s="76"/>
    </x:row>
    <x:row r="6" ht="25.5" customHeight="1">
      <x:c r="A6" s="44"/>
      <x:c r="B6" s="45"/>
      <x:c r="C6" s="46"/>
      <x:c r="D6" s="44"/>
      <x:c r="E6" s="45"/>
      <x:c r="F6" s="46"/>
      <x:c r="G6" s="59"/>
      <x:c r="H6" s="60"/>
      <x:c r="I6" s="61"/>
      <x:c r="J6" s="71"/>
      <x:c r="K6" s="72"/>
      <x:c r="L6" s="73"/>
      <x:c r="M6" s="76"/>
      <x:c r="N6" s="76"/>
      <x:c r="O6" s="76"/>
    </x:row>
    <x:row r="7" ht="9" customHeight="1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</x:row>
    <x:row r="8" ht="21" customHeight="1">
      <x:c r="A8" s="78" t="str">
        <x:v>ID</x:v>
      </x:c>
      <x:c r="B8" s="78" t="str">
        <x:v>Initiative</x:v>
      </x:c>
      <x:c r="C8" s="78" t="str">
        <x:v>Owner</x:v>
      </x:c>
      <x:c r="D8" s="78" t="str">
        <x:v>Stage</x:v>
      </x:c>
      <x:c r="E8" s="78" t="str">
        <x:v>Score</x:v>
      </x:c>
      <x:c r="F8" s="78" t="str">
        <x:v>Start</x:v>
      </x:c>
      <x:c r="G8" s="78" t="str">
        <x:v>Target</x:v>
      </x:c>
      <x:c r="H8" s="79" t="n">
        <x:v>46235</x:v>
      </x:c>
      <x:c r="I8" s="79" t="n">
        <x:v>46266</x:v>
      </x:c>
      <x:c r="J8" s="79" t="n">
        <x:v>46296</x:v>
      </x:c>
      <x:c r="K8" s="79" t="n">
        <x:v>46327</x:v>
      </x:c>
      <x:c r="L8" s="79" t="n">
        <x:v>46357</x:v>
      </x:c>
      <x:c r="M8" s="79" t="n">
        <x:v>46388</x:v>
      </x:c>
      <x:c r="N8" s="79" t="n">
        <x:v>46419</x:v>
      </x:c>
      <x:c r="O8" s="79" t="n">
        <x:v>46447</x:v>
      </x:c>
    </x:row>
    <x:row r="9" ht="22.5" customHeight="1">
      <x:c r="A9" s="81" t="str">
        <x:f>'Initiatives'!A5</x:f>
        <x:v>PD-101</x:v>
      </x:c>
      <x:c r="B9" s="84" t="str">
        <x:f>'Initiatives'!B5</x:f>
        <x:v>Guided onboarding</x:v>
      </x:c>
      <x:c r="C9" s="81" t="str">
        <x:f>'Initiatives'!D5</x:f>
        <x:v>Maya</x:v>
      </x:c>
      <x:c r="D9" s="81" t="str">
        <x:f>'Initiatives'!E5</x:f>
        <x:v>Build</x:v>
      </x:c>
      <x:c r="E9" s="87" t="n">
        <x:f>'Initiatives'!M5</x:f>
        <x:v>6.666666666666667</x:v>
      </x:c>
      <x:c r="F9" s="90" t="n">
        <x:f>'Initiatives'!I5</x:f>
        <x:v>46235</x:v>
      </x:c>
      <x:c r="G9" s="90" t="n">
        <x:f>'Initiatives'!J5</x:f>
        <x:v>46296</x:v>
      </x:c>
      <x:c r="H9" s="100" t="str">
        <x:f>IF(AND(H$8&gt;=$F9,H$8&lt;=$G9),"●","")</x:f>
        <x:v>●</x:v>
      </x:c>
      <x:c r="I9" s="100" t="str">
        <x:f>IF(AND(I$8&gt;=$F9,I$8&lt;=$G9),"●","")</x:f>
        <x:v>●</x:v>
      </x:c>
      <x:c r="J9" s="100" t="str">
        <x:f>IF(AND(J$8&gt;=$F9,J$8&lt;=$G9),"●","")</x:f>
        <x:v>●</x:v>
      </x:c>
      <x:c r="K9" s="100" t="str">
        <x:f>IF(AND(K$8&gt;=$F9,K$8&lt;=$G9),"●","")</x:f>
      </x:c>
      <x:c r="L9" s="100" t="str">
        <x:f>IF(AND(L$8&gt;=$F9,L$8&lt;=$G9),"●","")</x:f>
      </x:c>
      <x:c r="M9" s="100" t="str">
        <x:f>IF(AND(M$8&gt;=$F9,M$8&lt;=$G9),"●","")</x:f>
      </x:c>
      <x:c r="N9" s="100" t="str">
        <x:f>IF(AND(N$8&gt;=$F9,N$8&lt;=$G9),"●","")</x:f>
      </x:c>
      <x:c r="O9" s="100" t="str">
        <x:f>IF(AND(O$8&gt;=$F9,O$8&lt;=$G9),"●","")</x:f>
      </x:c>
    </x:row>
    <x:row r="10" ht="22.5" customHeight="1">
      <x:c r="A10" s="82" t="str">
        <x:f>'Initiatives'!A6</x:f>
        <x:v>PD-102</x:v>
      </x:c>
      <x:c r="B10" s="85" t="str">
        <x:f>'Initiatives'!B6</x:f>
        <x:v>Team permissions</x:v>
      </x:c>
      <x:c r="C10" s="82" t="str">
        <x:f>'Initiatives'!D6</x:f>
        <x:v>Ethan</x:v>
      </x:c>
      <x:c r="D10" s="82" t="str">
        <x:f>'Initiatives'!E6</x:f>
        <x:v>Design</x:v>
      </x:c>
      <x:c r="E10" s="88" t="n">
        <x:f>'Initiatives'!M6</x:f>
        <x:v>6.666666666666667</x:v>
      </x:c>
      <x:c r="F10" s="91" t="n">
        <x:f>'Initiatives'!I6</x:f>
        <x:v>46235</x:v>
      </x:c>
      <x:c r="G10" s="91" t="n">
        <x:f>'Initiatives'!J6</x:f>
        <x:v>46266</x:v>
      </x:c>
      <x:c r="H10" s="100" t="str">
        <x:f>IF(AND(H$8&gt;=$F10,H$8&lt;=$G10),"●","")</x:f>
        <x:v>●</x:v>
      </x:c>
      <x:c r="I10" s="100" t="str">
        <x:f>IF(AND(I$8&gt;=$F10,I$8&lt;=$G10),"●","")</x:f>
        <x:v>●</x:v>
      </x:c>
      <x:c r="J10" s="100" t="str">
        <x:f>IF(AND(J$8&gt;=$F10,J$8&lt;=$G10),"●","")</x:f>
      </x:c>
      <x:c r="K10" s="100" t="str">
        <x:f>IF(AND(K$8&gt;=$F10,K$8&lt;=$G10),"●","")</x:f>
      </x:c>
      <x:c r="L10" s="100" t="str">
        <x:f>IF(AND(L$8&gt;=$F10,L$8&lt;=$G10),"●","")</x:f>
      </x:c>
      <x:c r="M10" s="100" t="str">
        <x:f>IF(AND(M$8&gt;=$F10,M$8&lt;=$G10),"●","")</x:f>
      </x:c>
      <x:c r="N10" s="100" t="str">
        <x:f>IF(AND(N$8&gt;=$F10,N$8&lt;=$G10),"●","")</x:f>
      </x:c>
      <x:c r="O10" s="100" t="str">
        <x:f>IF(AND(O$8&gt;=$F10,O$8&lt;=$G10),"●","")</x:f>
      </x:c>
    </x:row>
    <x:row r="11" ht="22.5" customHeight="1">
      <x:c r="A11" s="82" t="str">
        <x:f>'Initiatives'!A7</x:f>
        <x:v>PD-103</x:v>
      </x:c>
      <x:c r="B11" s="85" t="str">
        <x:f>'Initiatives'!B7</x:f>
        <x:v>Usage insights</x:v>
      </x:c>
      <x:c r="C11" s="82" t="str">
        <x:f>'Initiatives'!D7</x:f>
        <x:v>Lina</x:v>
      </x:c>
      <x:c r="D11" s="82" t="str">
        <x:f>'Initiatives'!E7</x:f>
        <x:v>Discovery</x:v>
      </x:c>
      <x:c r="E11" s="88" t="n">
        <x:f>'Initiatives'!M7</x:f>
        <x:v>7.5</x:v>
      </x:c>
      <x:c r="F11" s="91" t="n">
        <x:f>'Initiatives'!I7</x:f>
        <x:v>46266</x:v>
      </x:c>
      <x:c r="G11" s="91" t="n">
        <x:f>'Initiatives'!J7</x:f>
        <x:v>46327</x:v>
      </x:c>
      <x:c r="H11" s="100" t="str">
        <x:f>IF(AND(H$8&gt;=$F11,H$8&lt;=$G11),"●","")</x:f>
      </x:c>
      <x:c r="I11" s="100" t="str">
        <x:f>IF(AND(I$8&gt;=$F11,I$8&lt;=$G11),"●","")</x:f>
        <x:v>●</x:v>
      </x:c>
      <x:c r="J11" s="100" t="str">
        <x:f>IF(AND(J$8&gt;=$F11,J$8&lt;=$G11),"●","")</x:f>
        <x:v>●</x:v>
      </x:c>
      <x:c r="K11" s="100" t="str">
        <x:f>IF(AND(K$8&gt;=$F11,K$8&lt;=$G11),"●","")</x:f>
        <x:v>●</x:v>
      </x:c>
      <x:c r="L11" s="100" t="str">
        <x:f>IF(AND(L$8&gt;=$F11,L$8&lt;=$G11),"●","")</x:f>
      </x:c>
      <x:c r="M11" s="100" t="str">
        <x:f>IF(AND(M$8&gt;=$F11,M$8&lt;=$G11),"●","")</x:f>
      </x:c>
      <x:c r="N11" s="100" t="str">
        <x:f>IF(AND(N$8&gt;=$F11,N$8&lt;=$G11),"●","")</x:f>
      </x:c>
      <x:c r="O11" s="100" t="str">
        <x:f>IF(AND(O$8&gt;=$F11,O$8&lt;=$G11),"●","")</x:f>
      </x:c>
    </x:row>
    <x:row r="12" ht="22.5" customHeight="1">
      <x:c r="A12" s="82" t="str">
        <x:f>'Initiatives'!A8</x:f>
        <x:v>PD-104</x:v>
      </x:c>
      <x:c r="B12" s="85" t="str">
        <x:f>'Initiatives'!B8</x:f>
        <x:v>Mobile approvals</x:v>
      </x:c>
      <x:c r="C12" s="82" t="str">
        <x:f>'Initiatives'!D8</x:f>
        <x:v>Noah</x:v>
      </x:c>
      <x:c r="D12" s="82" t="str">
        <x:f>'Initiatives'!E8</x:f>
        <x:v>Validation</x:v>
      </x:c>
      <x:c r="E12" s="88" t="n">
        <x:f>'Initiatives'!M8</x:f>
        <x:v>6</x:v>
      </x:c>
      <x:c r="F12" s="91" t="n">
        <x:f>'Initiatives'!I8</x:f>
        <x:v>46204</x:v>
      </x:c>
      <x:c r="G12" s="91" t="n">
        <x:f>'Initiatives'!J8</x:f>
        <x:v>46266</x:v>
      </x:c>
      <x:c r="H12" s="100" t="str">
        <x:f>IF(AND(H$8&gt;=$F12,H$8&lt;=$G12),"●","")</x:f>
        <x:v>●</x:v>
      </x:c>
      <x:c r="I12" s="100" t="str">
        <x:f>IF(AND(I$8&gt;=$F12,I$8&lt;=$G12),"●","")</x:f>
        <x:v>●</x:v>
      </x:c>
      <x:c r="J12" s="100" t="str">
        <x:f>IF(AND(J$8&gt;=$F12,J$8&lt;=$G12),"●","")</x:f>
      </x:c>
      <x:c r="K12" s="100" t="str">
        <x:f>IF(AND(K$8&gt;=$F12,K$8&lt;=$G12),"●","")</x:f>
      </x:c>
      <x:c r="L12" s="100" t="str">
        <x:f>IF(AND(L$8&gt;=$F12,L$8&lt;=$G12),"●","")</x:f>
      </x:c>
      <x:c r="M12" s="100" t="str">
        <x:f>IF(AND(M$8&gt;=$F12,M$8&lt;=$G12),"●","")</x:f>
      </x:c>
      <x:c r="N12" s="100" t="str">
        <x:f>IF(AND(N$8&gt;=$F12,N$8&lt;=$G12),"●","")</x:f>
      </x:c>
      <x:c r="O12" s="100" t="str">
        <x:f>IF(AND(O$8&gt;=$F12,O$8&lt;=$G12),"●","")</x:f>
      </x:c>
    </x:row>
    <x:row r="13" ht="22.5" customHeight="1">
      <x:c r="A13" s="82" t="str">
        <x:f>'Initiatives'!A9</x:f>
        <x:v>PD-105</x:v>
      </x:c>
      <x:c r="B13" s="85" t="str">
        <x:f>'Initiatives'!B9</x:f>
        <x:v>Billing portal</x:v>
      </x:c>
      <x:c r="C13" s="82" t="str">
        <x:f>'Initiatives'!D9</x:f>
        <x:v>Priya</x:v>
      </x:c>
      <x:c r="D13" s="82" t="str">
        <x:f>'Initiatives'!E9</x:f>
        <x:v>Build</x:v>
      </x:c>
      <x:c r="E13" s="88" t="n">
        <x:f>'Initiatives'!M9</x:f>
        <x:v>4</x:v>
      </x:c>
      <x:c r="F13" s="91" t="n">
        <x:f>'Initiatives'!I9</x:f>
        <x:v>46296</x:v>
      </x:c>
      <x:c r="G13" s="91" t="n">
        <x:f>'Initiatives'!J9</x:f>
        <x:v>46357</x:v>
      </x:c>
      <x:c r="H13" s="100" t="str">
        <x:f>IF(AND(H$8&gt;=$F13,H$8&lt;=$G13),"●","")</x:f>
      </x:c>
      <x:c r="I13" s="100" t="str">
        <x:f>IF(AND(I$8&gt;=$F13,I$8&lt;=$G13),"●","")</x:f>
      </x:c>
      <x:c r="J13" s="100" t="str">
        <x:f>IF(AND(J$8&gt;=$F13,J$8&lt;=$G13),"●","")</x:f>
        <x:v>●</x:v>
      </x:c>
      <x:c r="K13" s="100" t="str">
        <x:f>IF(AND(K$8&gt;=$F13,K$8&lt;=$G13),"●","")</x:f>
        <x:v>●</x:v>
      </x:c>
      <x:c r="L13" s="100" t="str">
        <x:f>IF(AND(L$8&gt;=$F13,L$8&lt;=$G13),"●","")</x:f>
        <x:v>●</x:v>
      </x:c>
      <x:c r="M13" s="100" t="str">
        <x:f>IF(AND(M$8&gt;=$F13,M$8&lt;=$G13),"●","")</x:f>
      </x:c>
      <x:c r="N13" s="100" t="str">
        <x:f>IF(AND(N$8&gt;=$F13,N$8&lt;=$G13),"●","")</x:f>
      </x:c>
      <x:c r="O13" s="100" t="str">
        <x:f>IF(AND(O$8&gt;=$F13,O$8&lt;=$G13),"●","")</x:f>
      </x:c>
    </x:row>
    <x:row r="14" ht="22.5" customHeight="1">
      <x:c r="A14" s="82" t="str">
        <x:f>'Initiatives'!A10</x:f>
        <x:v>PD-106</x:v>
      </x:c>
      <x:c r="B14" s="85" t="str">
        <x:f>'Initiatives'!B10</x:f>
        <x:v>AI search</x:v>
      </x:c>
      <x:c r="C14" s="82" t="str">
        <x:f>'Initiatives'!D10</x:f>
        <x:v>Diego</x:v>
      </x:c>
      <x:c r="D14" s="82" t="str">
        <x:f>'Initiatives'!E10</x:f>
        <x:v>Blocked</x:v>
      </x:c>
      <x:c r="E14" s="88" t="n">
        <x:f>'Initiatives'!M10</x:f>
        <x:v>3</x:v>
      </x:c>
      <x:c r="F14" s="91" t="n">
        <x:f>'Initiatives'!I10</x:f>
        <x:v>46266</x:v>
      </x:c>
      <x:c r="G14" s="91" t="n">
        <x:f>'Initiatives'!J10</x:f>
        <x:v>46357</x:v>
      </x:c>
      <x:c r="H14" s="100" t="str">
        <x:f>IF(AND(H$8&gt;=$F14,H$8&lt;=$G14),"●","")</x:f>
      </x:c>
      <x:c r="I14" s="100" t="str">
        <x:f>IF(AND(I$8&gt;=$F14,I$8&lt;=$G14),"●","")</x:f>
        <x:v>●</x:v>
      </x:c>
      <x:c r="J14" s="100" t="str">
        <x:f>IF(AND(J$8&gt;=$F14,J$8&lt;=$G14),"●","")</x:f>
        <x:v>●</x:v>
      </x:c>
      <x:c r="K14" s="100" t="str">
        <x:f>IF(AND(K$8&gt;=$F14,K$8&lt;=$G14),"●","")</x:f>
        <x:v>●</x:v>
      </x:c>
      <x:c r="L14" s="100" t="str">
        <x:f>IF(AND(L$8&gt;=$F14,L$8&lt;=$G14),"●","")</x:f>
        <x:v>●</x:v>
      </x:c>
      <x:c r="M14" s="100" t="str">
        <x:f>IF(AND(M$8&gt;=$F14,M$8&lt;=$G14),"●","")</x:f>
      </x:c>
      <x:c r="N14" s="100" t="str">
        <x:f>IF(AND(N$8&gt;=$F14,N$8&lt;=$G14),"●","")</x:f>
      </x:c>
      <x:c r="O14" s="100" t="str">
        <x:f>IF(AND(O$8&gt;=$F14,O$8&lt;=$G14),"●","")</x:f>
      </x:c>
    </x:row>
    <x:row r="15" ht="22.5" customHeight="1">
      <x:c r="A15" s="82" t="str">
        <x:f>'Initiatives'!A11</x:f>
        <x:v>PD-107</x:v>
      </x:c>
      <x:c r="B15" s="85" t="str">
        <x:f>'Initiatives'!B11</x:f>
        <x:v>Shared templates</x:v>
      </x:c>
      <x:c r="C15" s="82" t="str">
        <x:f>'Initiatives'!D11</x:f>
        <x:v>Maya</x:v>
      </x:c>
      <x:c r="D15" s="82" t="str">
        <x:f>'Initiatives'!E11</x:f>
        <x:v>Design</x:v>
      </x:c>
      <x:c r="E15" s="88" t="n">
        <x:f>'Initiatives'!M11</x:f>
        <x:v>7.5</x:v>
      </x:c>
      <x:c r="F15" s="91" t="n">
        <x:f>'Initiatives'!I11</x:f>
        <x:v>46327</x:v>
      </x:c>
      <x:c r="G15" s="91" t="n">
        <x:f>'Initiatives'!J11</x:f>
        <x:v>46388</x:v>
      </x:c>
      <x:c r="H15" s="100" t="str">
        <x:f>IF(AND(H$8&gt;=$F15,H$8&lt;=$G15),"●","")</x:f>
      </x:c>
      <x:c r="I15" s="100" t="str">
        <x:f>IF(AND(I$8&gt;=$F15,I$8&lt;=$G15),"●","")</x:f>
      </x:c>
      <x:c r="J15" s="100" t="str">
        <x:f>IF(AND(J$8&gt;=$F15,J$8&lt;=$G15),"●","")</x:f>
      </x:c>
      <x:c r="K15" s="100" t="str">
        <x:f>IF(AND(K$8&gt;=$F15,K$8&lt;=$G15),"●","")</x:f>
        <x:v>●</x:v>
      </x:c>
      <x:c r="L15" s="100" t="str">
        <x:f>IF(AND(L$8&gt;=$F15,L$8&lt;=$G15),"●","")</x:f>
        <x:v>●</x:v>
      </x:c>
      <x:c r="M15" s="100" t="str">
        <x:f>IF(AND(M$8&gt;=$F15,M$8&lt;=$G15),"●","")</x:f>
        <x:v>●</x:v>
      </x:c>
      <x:c r="N15" s="100" t="str">
        <x:f>IF(AND(N$8&gt;=$F15,N$8&lt;=$G15),"●","")</x:f>
      </x:c>
      <x:c r="O15" s="100" t="str">
        <x:f>IF(AND(O$8&gt;=$F15,O$8&lt;=$G15),"●","")</x:f>
      </x:c>
    </x:row>
    <x:row r="16" ht="22.5" customHeight="1">
      <x:c r="A16" s="83" t="str">
        <x:f>'Initiatives'!A12</x:f>
        <x:v>PD-108</x:v>
      </x:c>
      <x:c r="B16" s="86" t="str">
        <x:f>'Initiatives'!B12</x:f>
        <x:v>Audit export</x:v>
      </x:c>
      <x:c r="C16" s="83" t="str">
        <x:f>'Initiatives'!D12</x:f>
        <x:v>Ethan</x:v>
      </x:c>
      <x:c r="D16" s="83" t="str">
        <x:f>'Initiatives'!E12</x:f>
        <x:v>Shipped</x:v>
      </x:c>
      <x:c r="E16" s="89" t="n">
        <x:f>'Initiatives'!M12</x:f>
        <x:v>5</x:v>
      </x:c>
      <x:c r="F16" s="92" t="n">
        <x:f>'Initiatives'!I12</x:f>
        <x:v>46174</x:v>
      </x:c>
      <x:c r="G16" s="92" t="n">
        <x:f>'Initiatives'!J12</x:f>
        <x:v>46235</x:v>
      </x:c>
      <x:c r="H16" s="100" t="str">
        <x:f>IF(AND(H$8&gt;=$F16,H$8&lt;=$G16),"●","")</x:f>
        <x:v>●</x:v>
      </x:c>
      <x:c r="I16" s="100" t="str">
        <x:f>IF(AND(I$8&gt;=$F16,I$8&lt;=$G16),"●","")</x:f>
      </x:c>
      <x:c r="J16" s="100" t="str">
        <x:f>IF(AND(J$8&gt;=$F16,J$8&lt;=$G16),"●","")</x:f>
      </x:c>
      <x:c r="K16" s="100" t="str">
        <x:f>IF(AND(K$8&gt;=$F16,K$8&lt;=$G16),"●","")</x:f>
      </x:c>
      <x:c r="L16" s="100" t="str">
        <x:f>IF(AND(L$8&gt;=$F16,L$8&lt;=$G16),"●","")</x:f>
      </x:c>
      <x:c r="M16" s="100" t="str">
        <x:f>IF(AND(M$8&gt;=$F16,M$8&lt;=$G16),"●","")</x:f>
      </x:c>
      <x:c r="N16" s="100" t="str">
        <x:f>IF(AND(N$8&gt;=$F16,N$8&lt;=$G16),"●","")</x:f>
      </x:c>
      <x:c r="O16" s="100" t="str">
        <x:f>IF(AND(O$8&gt;=$F16,O$8&lt;=$G16),"●","")</x:f>
      </x:c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</x:row>
    <x:row r="18" ht="9" customHeight="1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</x:row>
    <x:row r="19" ht="18" customHeight="1">
      <x:c r="A19" s="103" t="str">
        <x:v>Release gates · Prototype → Architecture review → Beta cohort → Accessibility → General availability</x:v>
      </x:c>
      <x:c r="B19" s="103"/>
      <x:c r="C19" s="103"/>
      <x:c r="D19" s="103"/>
      <x:c r="E19" s="103"/>
      <x:c r="F19" s="103"/>
      <x:c r="G19" s="103"/>
      <x:c r="H19" s="103"/>
      <x:c r="I19" s="103"/>
      <x:c r="J19" s="103"/>
      <x:c r="K19" s="103"/>
      <x:c r="L19" s="103"/>
      <x:c r="M19" s="103"/>
      <x:c r="N19" s="103"/>
      <x:c r="O19" s="103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</x:row>
  </x:sheetData>
  <x:mergeCells>
    <x:mergeCell ref="A1:O2"/>
    <x:mergeCell ref="A3:O3"/>
    <x:mergeCell ref="A4:C4"/>
    <x:mergeCell ref="A5:C6"/>
    <x:mergeCell ref="D4:F4"/>
    <x:mergeCell ref="D5:F6"/>
    <x:mergeCell ref="G4:I4"/>
    <x:mergeCell ref="G5:I6"/>
    <x:mergeCell ref="J4:L4"/>
    <x:mergeCell ref="J5:L6"/>
    <x:mergeCell ref="M4:O6"/>
    <x:mergeCell ref="A19:O19"/>
  </x:mergeCells>
  <x:conditionalFormatting sqref="H9:O16">
    <x:cfRule type="containsText" dxfId="1" priority="1" operator="containsText" text="●"/>
  </x:conditionalFormatting>
  <x:conditionalFormatting sqref="D9:D16">
    <x:cfRule type="containsText" dxfId="2" priority="2" operator="containsText" text="Blocked"/>
  </x:conditionalFormatting>
  <x:pageMargins left="0.7" right="0.7" top="0.75" bottom="0.75" header="0.3" footer="0.3"/>
</x:worksheet>
</file>