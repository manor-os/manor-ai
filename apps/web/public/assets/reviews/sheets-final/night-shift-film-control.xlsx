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pboard" sheetId="1" state="visible" r:id="rId3"/>
    <sheet name="Shoot Days" sheetId="2" state="visible" r:id="rId4"/>
    <sheet name="Budget" sheetId="3" state="visible" r:id="rId5"/>
    <sheet name="Call Sheet" sheetId="4" state="visible" r:id="rId6"/>
    <sheet name="Risks" sheetId="5" state="visible" r:id="rId7"/>
  </sheets>
  <definedNames>
    <definedName function="false" hidden="true" localSheetId="2" name="_xlnm._FilterDatabase" vbProcedure="false">Budget!$A$2:$D$7</definedName>
    <definedName function="false" hidden="true" localSheetId="3" name="_xlnm._FilterDatabase" vbProcedure="false">'Call Sheet'!$A$2:$E$5</definedName>
    <definedName function="false" hidden="true" localSheetId="4" name="_xlnm._FilterDatabase" vbProcedure="false">Risks!$A$2:$D$5</definedName>
    <definedName function="false" hidden="true" localSheetId="1" name="_xlnm._FilterDatabase" vbProcedure="false">'Shoot Days'!$A$3:$F$8</definedName>
    <definedName function="false" hidden="false" localSheetId="0" name="_xlnm.Print_Area" vbProcedure="false">Stripboard!$A$1:$P$14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<sst xmlns="http://schemas.openxmlformats.org/spreadsheetml/2006/main" count="122" uniqueCount="89">
  <si>
    <t xml:space="preserve">NIGHT SHIFT FILM PRODUCTION CONTROL BOOK</t>
  </si>
  <si>
    <t xml:space="preserve">Stripboard with labeled shoot-date grid and colored scene schedule blocks</t>
  </si>
  <si>
    <t xml:space="preserve">Day</t>
  </si>
  <si>
    <t xml:space="preserve">Scene</t>
  </si>
  <si>
    <t xml:space="preserve">Location</t>
  </si>
  <si>
    <t xml:space="preserve">Cast</t>
  </si>
  <si>
    <t xml:space="preserve">D/N</t>
  </si>
  <si>
    <t xml:space="preserve">Pages</t>
  </si>
  <si>
    <t xml:space="preserve">15 Mar</t>
  </si>
  <si>
    <t xml:space="preserve">16 Mar</t>
  </si>
  <si>
    <t xml:space="preserve">17 Mar</t>
  </si>
  <si>
    <t xml:space="preserve">18 Mar</t>
  </si>
  <si>
    <t xml:space="preserve">19 Mar</t>
  </si>
  <si>
    <t xml:space="preserve">20 Mar</t>
  </si>
  <si>
    <t xml:space="preserve">21 Mar</t>
  </si>
  <si>
    <t xml:space="preserve">22 Mar</t>
  </si>
  <si>
    <t xml:space="preserve">23 Mar</t>
  </si>
  <si>
    <t xml:space="preserve">Status</t>
  </si>
  <si>
    <t xml:space="preserve">3A</t>
  </si>
  <si>
    <t xml:space="preserve">Diner exterior</t>
  </si>
  <si>
    <t xml:space="preserve">A,B</t>
  </si>
  <si>
    <t xml:space="preserve">N</t>
  </si>
  <si>
    <t xml:space="preserve">■</t>
  </si>
  <si>
    <t xml:space="preserve">Ready</t>
  </si>
  <si>
    <t xml:space="preserve">4</t>
  </si>
  <si>
    <t xml:space="preserve">Diner interior</t>
  </si>
  <si>
    <t xml:space="preserve">A,B,C</t>
  </si>
  <si>
    <t xml:space="preserve">7</t>
  </si>
  <si>
    <t xml:space="preserve">Alley rain</t>
  </si>
  <si>
    <t xml:space="preserve">B,D</t>
  </si>
  <si>
    <t xml:space="preserve">Prep</t>
  </si>
  <si>
    <t xml:space="preserve">9</t>
  </si>
  <si>
    <t xml:space="preserve">Rooftop</t>
  </si>
  <si>
    <t xml:space="preserve">A,D</t>
  </si>
  <si>
    <t xml:space="preserve">Hold</t>
  </si>
  <si>
    <t xml:space="preserve">12</t>
  </si>
  <si>
    <t xml:space="preserve">Apartment</t>
  </si>
  <si>
    <t xml:space="preserve">C</t>
  </si>
  <si>
    <t xml:space="preserve">D</t>
  </si>
  <si>
    <t xml:space="preserve">15</t>
  </si>
  <si>
    <t xml:space="preserve">Hospital</t>
  </si>
  <si>
    <t xml:space="preserve">A,E</t>
  </si>
  <si>
    <t xml:space="preserve">18</t>
  </si>
  <si>
    <t xml:space="preserve">Bridge</t>
  </si>
  <si>
    <t xml:space="preserve">A,B,D</t>
  </si>
  <si>
    <t xml:space="preserve">21</t>
  </si>
  <si>
    <t xml:space="preserve">Warehouse</t>
  </si>
  <si>
    <t xml:space="preserve">All</t>
  </si>
  <si>
    <t xml:space="preserve">Date</t>
  </si>
  <si>
    <t xml:space="preserve">Unit</t>
  </si>
  <si>
    <t xml:space="preserve">Scenes</t>
  </si>
  <si>
    <t xml:space="preserve">Page Count</t>
  </si>
  <si>
    <t xml:space="preserve">Company Move</t>
  </si>
  <si>
    <t xml:space="preserve">Completion</t>
  </si>
  <si>
    <t xml:space="preserve">Main</t>
  </si>
  <si>
    <t xml:space="preserve">Category</t>
  </si>
  <si>
    <t xml:space="preserve">Budget</t>
  </si>
  <si>
    <t xml:space="preserve">Actual</t>
  </si>
  <si>
    <t xml:space="preserve">Variance</t>
  </si>
  <si>
    <t xml:space="preserve">Crew</t>
  </si>
  <si>
    <t xml:space="preserve">Locations</t>
  </si>
  <si>
    <t xml:space="preserve">Equipment</t>
  </si>
  <si>
    <t xml:space="preserve">Post</t>
  </si>
  <si>
    <t xml:space="preserve">Contingency</t>
  </si>
  <si>
    <t xml:space="preserve">Role</t>
  </si>
  <si>
    <t xml:space="preserve">Name</t>
  </si>
  <si>
    <t xml:space="preserve">Call Time</t>
  </si>
  <si>
    <t xml:space="preserve">Phone</t>
  </si>
  <si>
    <t xml:space="preserve">Director</t>
  </si>
  <si>
    <t xml:space="preserve">Mara Ellison</t>
  </si>
  <si>
    <t xml:space="preserve">Diner</t>
  </si>
  <si>
    <t xml:space="preserve">555-0101</t>
  </si>
  <si>
    <t xml:space="preserve">DP</t>
  </si>
  <si>
    <t xml:space="preserve">Quinn Vale</t>
  </si>
  <si>
    <t xml:space="preserve">555-0122</t>
  </si>
  <si>
    <t xml:space="preserve">1st AD</t>
  </si>
  <si>
    <t xml:space="preserve">Jon Park</t>
  </si>
  <si>
    <t xml:space="preserve">Basecamp</t>
  </si>
  <si>
    <t xml:space="preserve">555-0191</t>
  </si>
  <si>
    <t xml:space="preserve">Risk</t>
  </si>
  <si>
    <t xml:space="preserve">Probability</t>
  </si>
  <si>
    <t xml:space="preserve">Impact</t>
  </si>
  <si>
    <t xml:space="preserve">Mitigation</t>
  </si>
  <si>
    <t xml:space="preserve">Rain exterior</t>
  </si>
  <si>
    <t xml:space="preserve">Cover set</t>
  </si>
  <si>
    <t xml:space="preserve">Permit delay</t>
  </si>
  <si>
    <t xml:space="preserve">Backup alley</t>
  </si>
  <si>
    <t xml:space="preserve">Overtime</t>
  </si>
  <si>
    <t xml:space="preserve">Prelight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</si>
</sst>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E66D"/>
      <name val="Aptos"/>
      <family val="0"/>
      <charset val="1"/>
    </font>
    <font>
      <sz val="11"/>
      <color rgb="FFFDE68A"/>
      <name val="Aptos"/>
      <family val="0"/>
      <charset val="1"/>
    </font>
    <font>
      <b val="true"/>
      <sz val="9"/>
      <color rgb="FF111111"/>
      <name val="Aptos"/>
      <family val="0"/>
      <charset val="1"/>
    </font>
    <font>
      <sz val="9"/>
      <color rgb="FFF5F5F5"/>
      <name val="Aptos"/>
      <family val="0"/>
      <charset val="1"/>
    </font>
    <font>
      <b val="true"/>
      <sz val="12"/>
      <color rgb="FFFFFFFF"/>
      <name val="Aptos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50505"/>
        <bgColor rgb="FF000000"/>
      </patternFill>
    </fill>
    <fill>
      <patternFill patternType="solid">
        <fgColor rgb="FF111111"/>
        <bgColor rgb="FF0A0A0A"/>
      </patternFill>
    </fill>
    <fill>
      <patternFill patternType="solid">
        <fgColor rgb="FFFACC15"/>
        <bgColor rgb="FFF9C80E"/>
      </patternFill>
    </fill>
    <fill>
      <patternFill patternType="solid">
        <fgColor rgb="FF0A0A0A"/>
        <bgColor rgb="FF050505"/>
      </patternFill>
    </fill>
    <fill>
      <patternFill patternType="solid">
        <fgColor rgb="FF16A34A"/>
        <bgColor rgb="FF008080"/>
      </patternFill>
    </fill>
    <fill>
      <patternFill patternType="solid">
        <fgColor rgb="FF1A1A1A"/>
        <bgColor rgb="FF111111"/>
      </patternFill>
    </fill>
    <fill>
      <patternFill patternType="solid">
        <fgColor rgb="FFCA8A04"/>
        <bgColor rgb="FFFF6600"/>
      </patternFill>
    </fill>
    <fill>
      <patternFill patternType="solid">
        <fgColor rgb="FFDC2626"/>
        <bgColor rgb="FFC0504D"/>
      </patternFill>
    </fill>
    <fill>
      <patternFill patternType="solid">
        <fgColor rgb="FFFFFFFF"/>
        <bgColor rgb="FFF9F9F9"/>
      </patternFill>
    </fill>
    <fill>
      <patternFill patternType="solid">
        <fgColor rgb="FF335C67"/>
        <bgColor rgb="FF40404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 diagonalUp="false" diagonalDown="false"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ACC15"/>
      <rgbColor rgb="FFFF00FF"/>
      <rgbColor rgb="FF00FFFF"/>
      <rgbColor rgb="FF800000"/>
      <rgbColor rgb="FF008000"/>
      <rgbColor rgb="FF0A0A0A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F5F5F5"/>
      <rgbColor rgb="FF660066"/>
      <rgbColor rgb="FFFF8080"/>
      <rgbColor rgb="FF0066CC"/>
      <rgbColor rgb="FFD9D9D9"/>
      <rgbColor rgb="FF050505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A"/>
      <rgbColor rgb="FFCCFFCC"/>
      <rgbColor rgb="FFFDE68A"/>
      <rgbColor rgb="FF99CCFF"/>
      <rgbColor rgb="FFFF99CC"/>
      <rgbColor rgb="FFCC99FF"/>
      <rgbColor rgb="FFFFE66D"/>
      <rgbColor rgb="FF4F81BD"/>
      <rgbColor rgb="FF33CCCC"/>
      <rgbColor rgb="FF9BBB59"/>
      <rgbColor rgb="FFF9C80E"/>
      <rgbColor rgb="FFCA8A04"/>
      <rgbColor rgb="FFFF6600"/>
      <rgbColor rgb="FF666666"/>
      <rgbColor rgb="FF969696"/>
      <rgbColor rgb="FF003366"/>
      <rgbColor rgb="FF16A34A"/>
      <rgbColor rgb="FF111111"/>
      <rgbColor rgb="FF1A1A1A"/>
      <rgbColor rgb="FF993300"/>
      <rgbColor rgb="FF993366"/>
      <rgbColor rgb="FF335C6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DejaVu Sans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Daily Page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'Shoot Days'!D3</c:f>
              <c:strCache>
                <c:ptCount val="1"/>
                <c:pt idx="0">
                  <c:v>Page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'Shoot Days'!$C$4:$C$8</c:f>
              <c:strCach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strCache>
            </c:strRef>
          </c:cat>
          <c:val>
            <c:numRef>
              <c:f>'Shoot Days'!$D$4:$D$8</c:f>
              <c:numCache>
                <c:formatCode>General</c:formatCode>
                <c:ptCount val="5"/>
                <c:pt idx="0">
                  <c:v>4.5</c:v>
                </c:pt>
                <c:pt idx="1">
                  <c:v>2.25</c:v>
                </c:pt>
                <c:pt idx="2">
                  <c:v>1.75</c:v>
                </c:pt>
                <c:pt idx="3">
                  <c:v>2</c:v>
                </c:pt>
                <c:pt idx="4">
                  <c:v>2.5</c:v>
                </c:pt>
              </c:numCache>
            </c:numRef>
          </c:val>
        </c:ser>
        <c:gapWidth val="150"/>
        <c:overlap val="0"/>
        <c:axId val="71363181"/>
        <c:axId val="46635400"/>
      </c:barChart>
      <c:catAx>
        <c:axId val="713631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35400"/>
        <c:crosses val="autoZero"/>
        <c:auto val="1"/>
        <c:lblAlgn val="ctr"/>
        <c:lblOffset val="100"/>
        <c:noMultiLvlLbl val="0"/>
      </c:catAx>
      <c:valAx>
        <c:axId val="46635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631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DejaVu Sans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Budget vs Actual Variance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Budget!B2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Budget!$A$3:$A$7</c:f>
              <c:strCache>
                <c:ptCount val="5"/>
                <c:pt idx="0">
                  <c:v>Crew</c:v>
                </c:pt>
                <c:pt idx="1">
                  <c:v>Locations</c:v>
                </c:pt>
                <c:pt idx="2">
                  <c:v>Equipment</c:v>
                </c:pt>
                <c:pt idx="3">
                  <c:v>Post</c:v>
                </c:pt>
                <c:pt idx="4">
                  <c:v>Contingency</c:v>
                </c:pt>
              </c:strCache>
            </c:strRef>
          </c:cat>
          <c:val>
            <c:numRef>
              <c:f>Budget!$B$3:$B$7</c:f>
              <c:numCache>
                <c:formatCode>General</c:formatCode>
                <c:ptCount val="5"/>
                <c:pt idx="0">
                  <c:v>42000</c:v>
                </c:pt>
                <c:pt idx="1">
                  <c:v>18000</c:v>
                </c:pt>
                <c:pt idx="2">
                  <c:v>26000</c:v>
                </c:pt>
                <c:pt idx="3">
                  <c:v>15000</c:v>
                </c:pt>
                <c:pt idx="4">
                  <c:v>9000</c:v>
                </c:pt>
              </c:numCache>
            </c:numRef>
          </c:val>
        </c:ser>
        <c:ser>
          <c:idx val="1"/>
          <c:order val="1"/>
          <c:tx>
            <c:strRef>
              <c:f>Budget!C2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Budget!$A$3:$A$7</c:f>
              <c:strCache>
                <c:ptCount val="5"/>
                <c:pt idx="0">
                  <c:v>Crew</c:v>
                </c:pt>
                <c:pt idx="1">
                  <c:v>Locations</c:v>
                </c:pt>
                <c:pt idx="2">
                  <c:v>Equipment</c:v>
                </c:pt>
                <c:pt idx="3">
                  <c:v>Post</c:v>
                </c:pt>
                <c:pt idx="4">
                  <c:v>Contingency</c:v>
                </c:pt>
              </c:strCache>
            </c:strRef>
          </c:cat>
          <c:val>
            <c:numRef>
              <c:f>Budget!$C$3:$C$7</c:f>
              <c:numCache>
                <c:formatCode>General</c:formatCode>
                <c:ptCount val="5"/>
                <c:pt idx="0">
                  <c:v>44500</c:v>
                </c:pt>
                <c:pt idx="1">
                  <c:v>16500</c:v>
                </c:pt>
                <c:pt idx="2">
                  <c:v>27400</c:v>
                </c:pt>
                <c:pt idx="3">
                  <c:v>13800</c:v>
                </c:pt>
                <c:pt idx="4">
                  <c:v>7000</c:v>
                </c:pt>
              </c:numCache>
            </c:numRef>
          </c:val>
        </c:ser>
        <c:ser>
          <c:idx val="2"/>
          <c:order val="2"/>
          <c:tx>
            <c:strRef>
              <c:f>Budget!D2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Budget!$A$3:$A$7</c:f>
              <c:strCache>
                <c:ptCount val="5"/>
                <c:pt idx="0">
                  <c:v>Crew</c:v>
                </c:pt>
                <c:pt idx="1">
                  <c:v>Locations</c:v>
                </c:pt>
                <c:pt idx="2">
                  <c:v>Equipment</c:v>
                </c:pt>
                <c:pt idx="3">
                  <c:v>Post</c:v>
                </c:pt>
                <c:pt idx="4">
                  <c:v>Contingency</c:v>
                </c:pt>
              </c:strCache>
            </c:strRef>
          </c:cat>
          <c:val>
            <c:numRef>
              <c:f>Budget!$D$3:$D$7</c:f>
              <c:numCache>
                <c:formatCode>General</c:formatCode>
                <c:ptCount val="5"/>
                <c:pt idx="0">
                  <c:v>-2500</c:v>
                </c:pt>
                <c:pt idx="1">
                  <c:v>1500</c:v>
                </c:pt>
                <c:pt idx="2">
                  <c:v>-1400</c:v>
                </c:pt>
                <c:pt idx="3">
                  <c:v>1200</c:v>
                </c:pt>
                <c:pt idx="4">
                  <c:v>2000</c:v>
                </c:pt>
              </c:numCache>
            </c:numRef>
          </c:val>
        </c:ser>
        <c:gapWidth val="150"/>
        <c:overlap val="0"/>
        <c:axId val="22938102"/>
        <c:axId val="38675424"/>
      </c:barChart>
      <c:catAx>
        <c:axId val="229381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675424"/>
        <c:crosses val="autoZero"/>
        <c:auto val="1"/>
        <c:lblAlgn val="ctr"/>
        <c:lblOffset val="100"/>
        <c:noMultiLvlLbl val="0"/>
      </c:catAx>
      <c:valAx>
        <c:axId val="38675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381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10</xdr:col>
      <xdr:colOff>851400</xdr:colOff>
      <xdr:row>10</xdr:row>
      <xdr:rowOff>25200</xdr:rowOff>
    </xdr:to>
    <xdr:graphicFrame>
      <xdr:nvGraphicFramePr>
        <xdr:cNvPr id="0" name="Chart 1"/>
        <xdr:cNvGraphicFramePr/>
      </xdr:nvGraphicFramePr>
      <xdr:xfrm>
        <a:off x="8089920" y="533520"/>
        <a:ext cx="4318560" cy="21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8</xdr:col>
      <xdr:colOff>851400</xdr:colOff>
      <xdr:row>9</xdr:row>
      <xdr:rowOff>24840</xdr:rowOff>
    </xdr:to>
    <xdr:graphicFrame>
      <xdr:nvGraphicFramePr>
        <xdr:cNvPr id="1" name="Chart 1"/>
        <xdr:cNvGraphicFramePr/>
      </xdr:nvGraphicFramePr>
      <xdr:xfrm>
        <a:off x="5778360" y="266760"/>
        <a:ext cx="4318560" cy="21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udget21" displayName="TBudget21" ref="A2:D7" headerRowCount="1" totalsRowCount="0" totalsRowShown="0">
  <autoFilter ref="A2:D7"/>
  <tableColumns count="4">
    <tableColumn id="1" name="Category"/>
    <tableColumn id="2" name="Budget"/>
    <tableColumn id="3" name="Actual"/>
    <tableColumn id="4" name="Variance"/>
  </tableColumns>
</table>
</file>

<file path=xl/tables/table2.xml><?xml version="1.0" encoding="utf-8"?>
<table xmlns="http://schemas.openxmlformats.org/spreadsheetml/2006/main" id="2" name="TCallSheet21" displayName="TCallSheet21" ref="A2:E5" headerRowCount="1" totalsRowCount="0" totalsRowShown="0">
  <autoFilter ref="A2:E5"/>
  <tableColumns count="5">
    <tableColumn id="1" name="Role"/>
    <tableColumn id="2" name="Name"/>
    <tableColumn id="3" name="Call Time"/>
    <tableColumn id="4" name="Location"/>
    <tableColumn id="5" name="Phone"/>
  </tableColumns>
</table>
</file>

<file path=xl/tables/table3.xml><?xml version="1.0" encoding="utf-8"?>
<table xmlns="http://schemas.openxmlformats.org/spreadsheetml/2006/main" id="3" name="TRisks21" displayName="TRisks21" ref="A2:D5" headerRowCount="1" totalsRowCount="0" totalsRowShown="0">
  <autoFilter ref="A2:D5"/>
  <tableColumns count="4">
    <tableColumn id="1" name="Risk"/>
    <tableColumn id="2" name="Probability"/>
    <tableColumn id="3" name="Impact"/>
    <tableColumn id="4" name="Mitigation"/>
  </tableColumns>
</table>
</file>

<file path=xl/tables/table4.xml><?xml version="1.0" encoding="utf-8"?>
<table xmlns="http://schemas.openxmlformats.org/spreadsheetml/2006/main" id="4" name="TShootDays31" displayName="TShootDays31" ref="A3:F8" headerRowCount="1" totalsRowCount="0" totalsRowShown="0">
  <autoFilter ref="A3:F8"/>
  <tableColumns count="6">
    <tableColumn id="1" name="Date"/>
    <tableColumn id="2" name="Unit"/>
    <tableColumn id="3" name="Scenes"/>
    <tableColumn id="4" name="Page Count"/>
    <tableColumn id="5" name="Company Move"/>
    <tableColumn id="6" name="Comple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80E"/>
    <pageSetUpPr fitToPage="true"/>
  </sheetPr>
  <dimension ref="A1:P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7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1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21" hidden="false" customHeight="true" outlineLevel="0" collapsed="false">
      <c r="A5" s="5" t="n">
        <v>1</v>
      </c>
      <c r="B5" s="5" t="s">
        <v>18</v>
      </c>
      <c r="C5" s="6" t="s">
        <v>19</v>
      </c>
      <c r="D5" s="5" t="s">
        <v>20</v>
      </c>
      <c r="E5" s="5" t="s">
        <v>21</v>
      </c>
      <c r="F5" s="5" t="n">
        <v>1.5</v>
      </c>
      <c r="G5" s="7" t="s">
        <v>22</v>
      </c>
      <c r="H5" s="7" t="s">
        <v>22</v>
      </c>
      <c r="I5" s="5"/>
      <c r="J5" s="5"/>
      <c r="K5" s="5"/>
      <c r="L5" s="5"/>
      <c r="M5" s="5"/>
      <c r="N5" s="5"/>
      <c r="O5" s="5"/>
      <c r="P5" s="5" t="s">
        <v>23</v>
      </c>
    </row>
    <row r="6" customFormat="false" ht="21" hidden="false" customHeight="true" outlineLevel="0" collapsed="false">
      <c r="A6" s="8" t="n">
        <v>1</v>
      </c>
      <c r="B6" s="8" t="s">
        <v>24</v>
      </c>
      <c r="C6" s="9" t="s">
        <v>25</v>
      </c>
      <c r="D6" s="8" t="s">
        <v>26</v>
      </c>
      <c r="E6" s="8" t="s">
        <v>21</v>
      </c>
      <c r="F6" s="8" t="n">
        <v>3</v>
      </c>
      <c r="G6" s="8"/>
      <c r="H6" s="7" t="s">
        <v>22</v>
      </c>
      <c r="I6" s="7" t="s">
        <v>22</v>
      </c>
      <c r="J6" s="8"/>
      <c r="K6" s="8"/>
      <c r="L6" s="8"/>
      <c r="M6" s="8"/>
      <c r="N6" s="8"/>
      <c r="O6" s="8"/>
      <c r="P6" s="8" t="s">
        <v>23</v>
      </c>
    </row>
    <row r="7" customFormat="false" ht="21" hidden="false" customHeight="true" outlineLevel="0" collapsed="false">
      <c r="A7" s="5" t="n">
        <v>2</v>
      </c>
      <c r="B7" s="5" t="s">
        <v>27</v>
      </c>
      <c r="C7" s="6" t="s">
        <v>28</v>
      </c>
      <c r="D7" s="5" t="s">
        <v>29</v>
      </c>
      <c r="E7" s="5" t="s">
        <v>21</v>
      </c>
      <c r="F7" s="5" t="n">
        <v>2.25</v>
      </c>
      <c r="G7" s="5"/>
      <c r="H7" s="5"/>
      <c r="I7" s="10" t="s">
        <v>22</v>
      </c>
      <c r="J7" s="10" t="s">
        <v>22</v>
      </c>
      <c r="K7" s="5"/>
      <c r="L7" s="5"/>
      <c r="M7" s="5"/>
      <c r="N7" s="5"/>
      <c r="O7" s="5"/>
      <c r="P7" s="5" t="s">
        <v>30</v>
      </c>
    </row>
    <row r="8" customFormat="false" ht="21" hidden="false" customHeight="true" outlineLevel="0" collapsed="false">
      <c r="A8" s="8" t="n">
        <v>3</v>
      </c>
      <c r="B8" s="8" t="s">
        <v>31</v>
      </c>
      <c r="C8" s="9" t="s">
        <v>32</v>
      </c>
      <c r="D8" s="8" t="s">
        <v>33</v>
      </c>
      <c r="E8" s="8" t="s">
        <v>21</v>
      </c>
      <c r="F8" s="8" t="n">
        <v>1.75</v>
      </c>
      <c r="G8" s="8"/>
      <c r="H8" s="8"/>
      <c r="I8" s="8"/>
      <c r="J8" s="11" t="s">
        <v>22</v>
      </c>
      <c r="K8" s="11" t="s">
        <v>22</v>
      </c>
      <c r="L8" s="8"/>
      <c r="M8" s="8"/>
      <c r="N8" s="8"/>
      <c r="O8" s="8"/>
      <c r="P8" s="8" t="s">
        <v>34</v>
      </c>
    </row>
    <row r="9" customFormat="false" ht="21" hidden="false" customHeight="true" outlineLevel="0" collapsed="false">
      <c r="A9" s="5" t="n">
        <v>4</v>
      </c>
      <c r="B9" s="5" t="s">
        <v>35</v>
      </c>
      <c r="C9" s="6" t="s">
        <v>36</v>
      </c>
      <c r="D9" s="5" t="s">
        <v>37</v>
      </c>
      <c r="E9" s="5" t="s">
        <v>38</v>
      </c>
      <c r="F9" s="5" t="n">
        <v>2</v>
      </c>
      <c r="G9" s="5"/>
      <c r="H9" s="5"/>
      <c r="I9" s="5"/>
      <c r="J9" s="5"/>
      <c r="K9" s="7" t="s">
        <v>22</v>
      </c>
      <c r="L9" s="7" t="s">
        <v>22</v>
      </c>
      <c r="M9" s="5"/>
      <c r="N9" s="5"/>
      <c r="O9" s="5"/>
      <c r="P9" s="5" t="s">
        <v>23</v>
      </c>
    </row>
    <row r="10" customFormat="false" ht="21" hidden="false" customHeight="true" outlineLevel="0" collapsed="false">
      <c r="A10" s="8" t="n">
        <v>5</v>
      </c>
      <c r="B10" s="8" t="s">
        <v>39</v>
      </c>
      <c r="C10" s="9" t="s">
        <v>40</v>
      </c>
      <c r="D10" s="8" t="s">
        <v>41</v>
      </c>
      <c r="E10" s="8" t="s">
        <v>38</v>
      </c>
      <c r="F10" s="8" t="n">
        <v>2.5</v>
      </c>
      <c r="G10" s="8"/>
      <c r="H10" s="8"/>
      <c r="I10" s="8"/>
      <c r="J10" s="8"/>
      <c r="K10" s="8"/>
      <c r="L10" s="10" t="s">
        <v>22</v>
      </c>
      <c r="M10" s="10" t="s">
        <v>22</v>
      </c>
      <c r="N10" s="8"/>
      <c r="O10" s="8"/>
      <c r="P10" s="8" t="s">
        <v>30</v>
      </c>
    </row>
    <row r="11" customFormat="false" ht="21" hidden="false" customHeight="true" outlineLevel="0" collapsed="false">
      <c r="A11" s="5" t="n">
        <v>6</v>
      </c>
      <c r="B11" s="5" t="s">
        <v>42</v>
      </c>
      <c r="C11" s="6" t="s">
        <v>43</v>
      </c>
      <c r="D11" s="5" t="s">
        <v>44</v>
      </c>
      <c r="E11" s="5" t="s">
        <v>21</v>
      </c>
      <c r="F11" s="5" t="n">
        <v>1</v>
      </c>
      <c r="G11" s="5"/>
      <c r="H11" s="5"/>
      <c r="I11" s="5"/>
      <c r="J11" s="5"/>
      <c r="K11" s="5"/>
      <c r="L11" s="5"/>
      <c r="M11" s="7" t="s">
        <v>22</v>
      </c>
      <c r="N11" s="7" t="s">
        <v>22</v>
      </c>
      <c r="O11" s="7" t="s">
        <v>22</v>
      </c>
      <c r="P11" s="5" t="s">
        <v>23</v>
      </c>
    </row>
    <row r="12" customFormat="false" ht="21" hidden="false" customHeight="true" outlineLevel="0" collapsed="false">
      <c r="A12" s="8" t="n">
        <v>7</v>
      </c>
      <c r="B12" s="8" t="s">
        <v>45</v>
      </c>
      <c r="C12" s="9" t="s">
        <v>46</v>
      </c>
      <c r="D12" s="8" t="s">
        <v>47</v>
      </c>
      <c r="E12" s="8" t="s">
        <v>21</v>
      </c>
      <c r="F12" s="8" t="n">
        <v>4</v>
      </c>
      <c r="G12" s="8"/>
      <c r="H12" s="8"/>
      <c r="I12" s="8"/>
      <c r="J12" s="8"/>
      <c r="K12" s="8"/>
      <c r="L12" s="8"/>
      <c r="M12" s="8"/>
      <c r="N12" s="11" t="s">
        <v>22</v>
      </c>
      <c r="O12" s="11" t="s">
        <v>22</v>
      </c>
      <c r="P12" s="11" t="s">
        <v>22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1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customFormat="false" ht="21" hidden="false" customHeight="true" outlineLevel="0" collapsed="false">
      <c r="A3" s="13" t="s">
        <v>48</v>
      </c>
      <c r="B3" s="13" t="s">
        <v>49</v>
      </c>
      <c r="C3" s="13" t="s">
        <v>50</v>
      </c>
      <c r="D3" s="13" t="s">
        <v>51</v>
      </c>
      <c r="E3" s="13" t="s">
        <v>52</v>
      </c>
      <c r="F3" s="13" t="s">
        <v>53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customFormat="false" ht="21" hidden="false" customHeight="true" outlineLevel="0" collapsed="false">
      <c r="A4" s="14" t="n">
        <v>46115</v>
      </c>
      <c r="B4" s="15" t="s">
        <v>54</v>
      </c>
      <c r="C4" s="15" t="n">
        <f aca="false">COUNTIF(Stripboard!A:A,1)</f>
        <v>2</v>
      </c>
      <c r="D4" s="15" t="n">
        <f aca="false">SUMIF(Stripboard!A:A,1,Stripboard!F:F)</f>
        <v>4.5</v>
      </c>
      <c r="E4" s="16" t="b">
        <f aca="false">TRUE()</f>
        <v>1</v>
      </c>
      <c r="F4" s="15" t="n">
        <f aca="false">D4/6</f>
        <v>0.75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21" hidden="false" customHeight="true" outlineLevel="0" collapsed="false">
      <c r="A5" s="14" t="n">
        <v>46116</v>
      </c>
      <c r="B5" s="15" t="s">
        <v>54</v>
      </c>
      <c r="C5" s="15" t="n">
        <f aca="false">COUNTIF(Stripboard!A:A,2)</f>
        <v>1</v>
      </c>
      <c r="D5" s="15" t="n">
        <f aca="false">SUMIF(Stripboard!A:A,2,Stripboard!F:F)</f>
        <v>2.25</v>
      </c>
      <c r="E5" s="16" t="b">
        <f aca="false">FALSE()</f>
        <v>0</v>
      </c>
      <c r="F5" s="15" t="n">
        <f aca="false">D5/6</f>
        <v>0.375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21" hidden="false" customHeight="true" outlineLevel="0" collapsed="false">
      <c r="A6" s="14" t="n">
        <v>46117</v>
      </c>
      <c r="B6" s="15" t="s">
        <v>54</v>
      </c>
      <c r="C6" s="15" t="n">
        <f aca="false">COUNTIF(Stripboard!A:A,3)</f>
        <v>1</v>
      </c>
      <c r="D6" s="15" t="n">
        <f aca="false">SUMIF(Stripboard!A:A,3,Stripboard!F:F)</f>
        <v>1.75</v>
      </c>
      <c r="E6" s="16" t="b">
        <f aca="false">TRUE()</f>
        <v>1</v>
      </c>
      <c r="F6" s="15" t="n">
        <f aca="false">D6/6</f>
        <v>0.291666666666667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" hidden="false" customHeight="true" outlineLevel="0" collapsed="false">
      <c r="A7" s="14" t="n">
        <v>46118</v>
      </c>
      <c r="B7" s="15" t="s">
        <v>54</v>
      </c>
      <c r="C7" s="15" t="n">
        <f aca="false">COUNTIF(Stripboard!A:A,4)</f>
        <v>1</v>
      </c>
      <c r="D7" s="15" t="n">
        <f aca="false">SUMIF(Stripboard!A:A,4,Stripboard!F:F)</f>
        <v>2</v>
      </c>
      <c r="E7" s="16" t="b">
        <f aca="false">FALSE()</f>
        <v>0</v>
      </c>
      <c r="F7" s="15" t="n">
        <f aca="false">D7/6</f>
        <v>0.333333333333333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21" hidden="false" customHeight="true" outlineLevel="0" collapsed="false">
      <c r="A8" s="14" t="n">
        <v>46119</v>
      </c>
      <c r="B8" s="15" t="s">
        <v>54</v>
      </c>
      <c r="C8" s="15" t="n">
        <f aca="false">COUNTIF(Stripboard!A:A,5)</f>
        <v>1</v>
      </c>
      <c r="D8" s="15" t="n">
        <f aca="false">SUMIF(Stripboard!A:A,5,Stripboard!F:F)</f>
        <v>2.5</v>
      </c>
      <c r="E8" s="16" t="b">
        <f aca="false">TRUE()</f>
        <v>1</v>
      </c>
      <c r="F8" s="15" t="n">
        <f aca="false">D8/6</f>
        <v>0.416666666666667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2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2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2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2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2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2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2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2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2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2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2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2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2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2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2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21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21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21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21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21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21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21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1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21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21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21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21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21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21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21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21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21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21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21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21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21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21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21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21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1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customFormat="false" ht="21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customFormat="false" ht="21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customFormat="false" ht="21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customFormat="false" ht="21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customFormat="false" ht="21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customFormat="false" ht="21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customFormat="false" ht="21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customFormat="false" ht="21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customFormat="false" ht="21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customFormat="false" ht="21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customFormat="false" ht="21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customFormat="false" ht="21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customFormat="false" ht="21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customFormat="false" ht="21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customFormat="false" ht="21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customFormat="false" ht="21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customFormat="false" ht="21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customFormat="false" ht="21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customFormat="false" ht="21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customFormat="false" ht="21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customFormat="false" ht="21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</sheetData>
  <autoFilter ref="A3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80E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1" hidden="false" customHeight="true" outlineLevel="0" collapsed="false">
      <c r="A2" s="13" t="s">
        <v>55</v>
      </c>
      <c r="B2" s="13" t="s">
        <v>56</v>
      </c>
      <c r="C2" s="13" t="s">
        <v>57</v>
      </c>
      <c r="D2" s="13" t="s">
        <v>58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customFormat="false" ht="21" hidden="false" customHeight="true" outlineLevel="0" collapsed="false">
      <c r="A3" s="15" t="s">
        <v>59</v>
      </c>
      <c r="B3" s="15" t="n">
        <v>42000</v>
      </c>
      <c r="C3" s="15" t="n">
        <v>44500</v>
      </c>
      <c r="D3" s="15" t="n">
        <f aca="false">B3-C3</f>
        <v>-2500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customFormat="false" ht="21" hidden="false" customHeight="true" outlineLevel="0" collapsed="false">
      <c r="A4" s="15" t="s">
        <v>60</v>
      </c>
      <c r="B4" s="15" t="n">
        <v>18000</v>
      </c>
      <c r="C4" s="15" t="n">
        <v>16500</v>
      </c>
      <c r="D4" s="15" t="n">
        <f aca="false">B4-C4</f>
        <v>1500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21" hidden="false" customHeight="true" outlineLevel="0" collapsed="false">
      <c r="A5" s="15" t="s">
        <v>61</v>
      </c>
      <c r="B5" s="15" t="n">
        <v>26000</v>
      </c>
      <c r="C5" s="15" t="n">
        <v>27400</v>
      </c>
      <c r="D5" s="15" t="n">
        <f aca="false">B5-C5</f>
        <v>-1400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21" hidden="false" customHeight="true" outlineLevel="0" collapsed="false">
      <c r="A6" s="15" t="s">
        <v>62</v>
      </c>
      <c r="B6" s="15" t="n">
        <v>15000</v>
      </c>
      <c r="C6" s="15" t="n">
        <v>13800</v>
      </c>
      <c r="D6" s="15" t="n">
        <f aca="false">B6-C6</f>
        <v>1200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" hidden="false" customHeight="true" outlineLevel="0" collapsed="false">
      <c r="A7" s="15" t="s">
        <v>63</v>
      </c>
      <c r="B7" s="15" t="n">
        <v>9000</v>
      </c>
      <c r="C7" s="15" t="n">
        <v>7000</v>
      </c>
      <c r="D7" s="15" t="n">
        <f aca="false">B7-C7</f>
        <v>2000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21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2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2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2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2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2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2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2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2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2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2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2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2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2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2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2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21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21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21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21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21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21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21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1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21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21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21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21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21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21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21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21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21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21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21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21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21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21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21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21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1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customFormat="false" ht="21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customFormat="false" ht="21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customFormat="false" ht="21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customFormat="false" ht="21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customFormat="false" ht="21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customFormat="false" ht="21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customFormat="false" ht="21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customFormat="false" ht="21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customFormat="false" ht="21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customFormat="false" ht="21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customFormat="false" ht="21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customFormat="false" ht="21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customFormat="false" ht="21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customFormat="false" ht="21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customFormat="false" ht="21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customFormat="false" ht="21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customFormat="false" ht="21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customFormat="false" ht="21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customFormat="false" ht="21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customFormat="false" ht="21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customFormat="false" ht="21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</sheetData>
  <autoFilter ref="A2:D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1" hidden="false" customHeight="true" outlineLevel="0" collapsed="false">
      <c r="A2" s="13" t="s">
        <v>64</v>
      </c>
      <c r="B2" s="13" t="s">
        <v>65</v>
      </c>
      <c r="C2" s="13" t="s">
        <v>66</v>
      </c>
      <c r="D2" s="13" t="s">
        <v>4</v>
      </c>
      <c r="E2" s="13" t="s">
        <v>67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customFormat="false" ht="21" hidden="false" customHeight="true" outlineLevel="0" collapsed="false">
      <c r="A3" s="15" t="s">
        <v>68</v>
      </c>
      <c r="B3" s="15" t="s">
        <v>69</v>
      </c>
      <c r="C3" s="17" t="n">
        <v>0.708333333333333</v>
      </c>
      <c r="D3" s="15" t="s">
        <v>70</v>
      </c>
      <c r="E3" s="15" t="s">
        <v>71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customFormat="false" ht="21" hidden="false" customHeight="true" outlineLevel="0" collapsed="false">
      <c r="A4" s="15" t="s">
        <v>72</v>
      </c>
      <c r="B4" s="15" t="s">
        <v>73</v>
      </c>
      <c r="C4" s="17" t="n">
        <v>0.729166666666667</v>
      </c>
      <c r="D4" s="15" t="s">
        <v>70</v>
      </c>
      <c r="E4" s="15" t="s">
        <v>74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21" hidden="false" customHeight="true" outlineLevel="0" collapsed="false">
      <c r="A5" s="15" t="s">
        <v>75</v>
      </c>
      <c r="B5" s="15" t="s">
        <v>76</v>
      </c>
      <c r="C5" s="17" t="n">
        <v>0.6875</v>
      </c>
      <c r="D5" s="15" t="s">
        <v>77</v>
      </c>
      <c r="E5" s="15" t="s">
        <v>78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21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21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2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2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2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2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2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2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2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2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2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2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2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2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2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2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2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21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21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21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21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21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21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21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1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21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21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21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21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21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21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21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21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21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21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21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21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21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21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21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21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1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customFormat="false" ht="21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customFormat="false" ht="21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customFormat="false" ht="21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customFormat="false" ht="21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customFormat="false" ht="21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customFormat="false" ht="21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customFormat="false" ht="21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customFormat="false" ht="21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customFormat="false" ht="21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customFormat="false" ht="21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customFormat="false" ht="21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customFormat="false" ht="21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customFormat="false" ht="21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customFormat="false" ht="21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customFormat="false" ht="21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customFormat="false" ht="21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customFormat="false" ht="21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customFormat="false" ht="21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customFormat="false" ht="21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customFormat="false" ht="21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customFormat="false" ht="21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</sheetData>
  <autoFilter ref="A2:E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C80E"/>
    <pageSetUpPr fitToPage="true"/>
  </sheetPr>
  <dimension ref="A1:A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21" customHeight="true" zeroHeight="false" outlineLevelRow="0" outlineLevelCol="0"/>
  <cols>
    <col collapsed="false" customWidth="true" hidden="false" outlineLevel="0" max="31" min="1" style="1" width="13"/>
  </cols>
  <sheetData>
    <row r="1" customFormat="false" ht="21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21" hidden="false" customHeight="true" outlineLevel="0" collapsed="false">
      <c r="A2" s="13" t="s">
        <v>79</v>
      </c>
      <c r="B2" s="13" t="s">
        <v>80</v>
      </c>
      <c r="C2" s="13" t="s">
        <v>81</v>
      </c>
      <c r="D2" s="13" t="s">
        <v>82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customFormat="false" ht="21" hidden="false" customHeight="true" outlineLevel="0" collapsed="false">
      <c r="A3" s="15" t="s">
        <v>83</v>
      </c>
      <c r="B3" s="15" t="n">
        <v>0.45</v>
      </c>
      <c r="C3" s="15" t="n">
        <v>4</v>
      </c>
      <c r="D3" s="15" t="s">
        <v>84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customFormat="false" ht="21" hidden="false" customHeight="true" outlineLevel="0" collapsed="false">
      <c r="A4" s="15" t="s">
        <v>85</v>
      </c>
      <c r="B4" s="15" t="n">
        <v>0.25</v>
      </c>
      <c r="C4" s="15" t="n">
        <v>5</v>
      </c>
      <c r="D4" s="15" t="s">
        <v>86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21" hidden="false" customHeight="true" outlineLevel="0" collapsed="false">
      <c r="A5" s="15" t="s">
        <v>87</v>
      </c>
      <c r="B5" s="15" t="n">
        <v>0.35</v>
      </c>
      <c r="C5" s="15" t="n">
        <v>3</v>
      </c>
      <c r="D5" s="15" t="s">
        <v>88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21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21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21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21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21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21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21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21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21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21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21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21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21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21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21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21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21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21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21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21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21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21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21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21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21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customFormat="false" ht="21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customFormat="false" ht="21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customFormat="false" ht="21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customFormat="false" ht="21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customFormat="false" ht="21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customFormat="false" ht="21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customFormat="false" ht="21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customFormat="false" ht="21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customFormat="false" ht="21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customFormat="false" ht="21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customFormat="false" ht="21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customFormat="false" ht="21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customFormat="false" ht="21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customFormat="false" ht="21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customFormat="false" ht="21" hidden="false" customHeight="tru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customFormat="false" ht="21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customFormat="false" ht="21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customFormat="false" ht="21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customFormat="false" ht="21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customFormat="false" ht="21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customFormat="false" ht="21" hidden="false" customHeight="tru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customFormat="false" ht="21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customFormat="false" ht="21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customFormat="false" ht="21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customFormat="false" ht="21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customFormat="false" ht="21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customFormat="false" ht="21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customFormat="false" ht="21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customFormat="false" ht="21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customFormat="false" ht="21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customFormat="false" ht="21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customFormat="false" ht="21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customFormat="false" ht="21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customFormat="false" ht="21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customFormat="false" ht="21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customFormat="false" ht="21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customFormat="false" ht="21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customFormat="false" ht="21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customFormat="false" ht="21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customFormat="false" ht="21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</sheetData>
  <autoFilter ref="A2:D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2026-08-10T09:58:11Z</dcterms:created>
  <dc:creator>openpyxl</dc:creator>
  <dc:description/>
  <dc:language>en-US</dc:language>
  <cp:lastModifiedBy/>
  <dcterms:modified xsi:type="dcterms:W3CDTF">2026-08-10T10:19:29Z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