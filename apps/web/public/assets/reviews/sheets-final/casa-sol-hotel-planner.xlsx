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 Board" sheetId="1" state="visible" r:id="rId3"/>
    <sheet name="Reservations" sheetId="2" state="visible" r:id="rId4"/>
    <sheet name="Rates" sheetId="3" state="visible" r:id="rId5"/>
  </sheets>
  <definedNames>
    <definedName function="false" hidden="false" localSheetId="0" name="_xlnm.Print_Area" vbProcedure="false">'Month Board'!$A$1:$AH$21</definedName>
    <definedName function="false" hidden="true" localSheetId="2" name="_xlnm._FilterDatabase" vbProcedure="false">Rates!$A$1:$D$9</definedName>
    <definedName function="false" hidden="true" localSheetId="1" name="_xlnm._FilterDatabase" vbProcedure="false">Reservations!$A$2:$H$12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<sst xmlns="http://schemas.openxmlformats.org/spreadsheetml/2006/main" count="103" uniqueCount="57">
  <si>
    <t xml:space="preserve">Casa Sol Hotel Front Desk Planner</t>
  </si>
  <si>
    <t xml:space="preserve">March 2026 room/day allocation grid with occupancy and ADR summary</t>
  </si>
  <si>
    <t xml:space="preserve">Room</t>
  </si>
  <si>
    <t xml:space="preserve">Type</t>
  </si>
  <si>
    <t xml:space="preserve">Azul</t>
  </si>
  <si>
    <t xml:space="preserve">Courtyard</t>
  </si>
  <si>
    <t xml:space="preserve">Martinez</t>
  </si>
  <si>
    <t xml:space="preserve">Sol</t>
  </si>
  <si>
    <t xml:space="preserve">Dr. Elaine Porter</t>
  </si>
  <si>
    <t xml:space="preserve">Luna</t>
  </si>
  <si>
    <t xml:space="preserve">Kobayashi Family</t>
  </si>
  <si>
    <t xml:space="preserve">Mar</t>
  </si>
  <si>
    <t xml:space="preserve">Anne-Marie Voss</t>
  </si>
  <si>
    <t xml:space="preserve">Jardin</t>
  </si>
  <si>
    <t xml:space="preserve">Sea View</t>
  </si>
  <si>
    <t xml:space="preserve">Ibrahim Al Noor</t>
  </si>
  <si>
    <t xml:space="preserve">Terra</t>
  </si>
  <si>
    <t xml:space="preserve">Greene / Patel</t>
  </si>
  <si>
    <t xml:space="preserve">Vista</t>
  </si>
  <si>
    <t xml:space="preserve">Santos</t>
  </si>
  <si>
    <t xml:space="preserve">Patio</t>
  </si>
  <si>
    <t xml:space="preserve">Nguyen</t>
  </si>
  <si>
    <t xml:space="preserve">Nube</t>
  </si>
  <si>
    <t xml:space="preserve">Coral</t>
  </si>
  <si>
    <t xml:space="preserve">Occupancy</t>
  </si>
  <si>
    <t xml:space="preserve">Status colors: confirmed, checked-in, VIP. Guest names use shrink-to-fit to avoid wrap collisions.</t>
  </si>
  <si>
    <t xml:space="preserve">ADR</t>
  </si>
  <si>
    <t xml:space="preserve">Guest</t>
  </si>
  <si>
    <t xml:space="preserve">Arrival</t>
  </si>
  <si>
    <t xml:space="preserve">Departure</t>
  </si>
  <si>
    <t xml:space="preserve">Status</t>
  </si>
  <si>
    <t xml:space="preserve">Channel</t>
  </si>
  <si>
    <t xml:space="preserve">Nights</t>
  </si>
  <si>
    <t xml:space="preserve">Revenue</t>
  </si>
  <si>
    <t xml:space="preserve">Confirmed</t>
  </si>
  <si>
    <t xml:space="preserve">Direct</t>
  </si>
  <si>
    <t xml:space="preserve">Grant</t>
  </si>
  <si>
    <t xml:space="preserve">Checked In</t>
  </si>
  <si>
    <t xml:space="preserve">Nakamura</t>
  </si>
  <si>
    <t xml:space="preserve">Singh</t>
  </si>
  <si>
    <t xml:space="preserve">Cactus</t>
  </si>
  <si>
    <t xml:space="preserve">VIP</t>
  </si>
  <si>
    <t xml:space="preserve">Okafor</t>
  </si>
  <si>
    <t xml:space="preserve">Mariposa</t>
  </si>
  <si>
    <t xml:space="preserve">Phone</t>
  </si>
  <si>
    <t xml:space="preserve">Bennett</t>
  </si>
  <si>
    <t xml:space="preserve">Olive</t>
  </si>
  <si>
    <t xml:space="preserve">Rivera</t>
  </si>
  <si>
    <t xml:space="preserve">Adobe</t>
  </si>
  <si>
    <t xml:space="preserve">Hold</t>
  </si>
  <si>
    <t xml:space="preserve">OTA</t>
  </si>
  <si>
    <t xml:space="preserve">Hughes</t>
  </si>
  <si>
    <t xml:space="preserve">Paloma</t>
  </si>
  <si>
    <t xml:space="preserve">Klein</t>
  </si>
  <si>
    <t xml:space="preserve">Ibrahim</t>
  </si>
  <si>
    <t xml:space="preserve">Cleaning Fee</t>
  </si>
  <si>
    <t xml:space="preserve">Terrace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</si>
</sst>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ptos Display"/>
      <family val="0"/>
      <charset val="1"/>
    </font>
    <font>
      <sz val="11"/>
      <color rgb="FF9A3412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9"/>
      <color rgb="FF7C2D12"/>
      <name val="Aptos"/>
      <family val="0"/>
      <charset val="1"/>
    </font>
    <font>
      <sz val="9"/>
      <color rgb="FF431407"/>
      <name val="Aptos"/>
      <family val="0"/>
      <charset val="1"/>
    </font>
    <font>
      <sz val="8"/>
      <color rgb="FF1F2937"/>
      <name val="Aptos"/>
      <family val="0"/>
      <charset val="1"/>
    </font>
    <font>
      <b val="true"/>
      <sz val="12"/>
      <color rgb="FF7C2D12"/>
      <name val="Aptos"/>
      <family val="0"/>
      <charset val="1"/>
    </font>
    <font>
      <b val="true"/>
      <sz val="14"/>
      <color rgb="FF1F2937"/>
      <name val="Aptos"/>
      <family val="0"/>
      <charset val="1"/>
    </font>
    <font>
      <sz val="10"/>
      <color rgb="FF9A3412"/>
      <name val="Aptos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7ED"/>
        <bgColor rgb="FFFFFFFF"/>
      </patternFill>
    </fill>
    <fill>
      <patternFill patternType="solid">
        <fgColor rgb="FFEA580C"/>
        <bgColor rgb="FFE76F51"/>
      </patternFill>
    </fill>
    <fill>
      <patternFill patternType="solid">
        <fgColor rgb="FFFDBA74"/>
        <bgColor rgb="FFFED7AA"/>
      </patternFill>
    </fill>
    <fill>
      <patternFill patternType="solid">
        <fgColor rgb="FFD9F99D"/>
        <bgColor rgb="FFFFEDD5"/>
      </patternFill>
    </fill>
    <fill>
      <patternFill patternType="solid">
        <fgColor rgb="FFBFDBFE"/>
        <bgColor rgb="FFD9E2EA"/>
      </patternFill>
    </fill>
    <fill>
      <patternFill patternType="solid">
        <fgColor rgb="FFFBCFE8"/>
        <bgColor rgb="FFFED7AA"/>
      </patternFill>
    </fill>
    <fill>
      <patternFill patternType="solid">
        <fgColor rgb="FFFFEDD5"/>
        <bgColor rgb="FFFFF7ED"/>
      </patternFill>
    </fill>
    <fill>
      <patternFill patternType="solid">
        <fgColor rgb="FFFFFFFF"/>
        <bgColor rgb="FFFFF7ED"/>
      </patternFill>
    </fill>
    <fill>
      <patternFill patternType="solid">
        <fgColor rgb="FF335C67"/>
        <bgColor rgb="FF3333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56A4B"/>
      <rgbColor rgb="FF800080"/>
      <rgbColor rgb="FF008080"/>
      <rgbColor rgb="FFFBCFE8"/>
      <rgbColor rgb="FF9C6644"/>
      <rgbColor rgb="FF9999FF"/>
      <rgbColor rgb="FF7C2D12"/>
      <rgbColor rgb="FFFFF7ED"/>
      <rgbColor rgb="FFD9E2EA"/>
      <rgbColor rgb="FF660066"/>
      <rgbColor rgb="FFE76F51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99D"/>
      <rgbColor rgb="FFFFEDD5"/>
      <rgbColor rgb="FF99CCFF"/>
      <rgbColor rgb="FFFDBA74"/>
      <rgbColor rgb="FFCC99FF"/>
      <rgbColor rgb="FFFED7AA"/>
      <rgbColor rgb="FF3366FF"/>
      <rgbColor rgb="FF33CCCC"/>
      <rgbColor rgb="FF99CC00"/>
      <rgbColor rgb="FFFFCC00"/>
      <rgbColor rgb="FFFF9900"/>
      <rgbColor rgb="FFEA580C"/>
      <rgbColor rgb="FF335C67"/>
      <rgbColor rgb="FF969696"/>
      <rgbColor rgb="FF003366"/>
      <rgbColor rgb="FF339966"/>
      <rgbColor rgb="FF003300"/>
      <rgbColor rgb="FF431407"/>
      <rgbColor rgb="FF9A34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Rates11" displayName="TRates11" ref="A1:D9" headerRowCount="1" totalsRowCount="0" totalsRowShown="0">
  <autoFilter ref="A1:D9"/>
  <tableColumns count="4">
    <tableColumn id="1" name="Room"/>
    <tableColumn id="2" name="Type"/>
    <tableColumn id="3" name="ADR"/>
    <tableColumn id="4" name="Cleaning Fee"/>
  </tableColumns>
</table>
</file>

<file path=xl/tables/table2.xml><?xml version="1.0" encoding="utf-8"?>
<table xmlns="http://schemas.openxmlformats.org/spreadsheetml/2006/main" id="2" name="TReservations21" displayName="TReservations21" ref="A2:H12" headerRowCount="1" totalsRowCount="0" totalsRowShown="0">
  <autoFilter ref="A2:H12"/>
  <tableColumns count="8">
    <tableColumn id="1" name="Guest"/>
    <tableColumn id="2" name="Room"/>
    <tableColumn id="3" name="Arrival"/>
    <tableColumn id="4" name="Departure"/>
    <tableColumn id="5" name="Status"/>
    <tableColumn id="6" name="Channel"/>
    <tableColumn id="7" name="Nights"/>
    <tableColumn id="8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6A4B"/>
    <pageSetUpPr fitToPage="true"/>
  </sheetPr>
  <dimension ref="A1:A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3" min="3" style="1" width="5"/>
    <col collapsed="false" customWidth="true" hidden="false" outlineLevel="0" max="34" min="34" style="0" width="5"/>
  </cols>
  <sheetData>
    <row r="1" customFormat="false" ht="7.5" hidden="false" customHeight="true" outlineLevel="0" collapsed="false"/>
    <row r="2" customFormat="false" ht="33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24" hidden="false" customHeight="true" outlineLevel="0" collapsed="false"/>
    <row r="5" customFormat="false" ht="21" hidden="false" customHeight="true" outlineLevel="0" collapsed="false">
      <c r="A5" s="4" t="s">
        <v>2</v>
      </c>
      <c r="B5" s="4" t="s">
        <v>3</v>
      </c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  <c r="J5" s="5" t="n">
        <v>8</v>
      </c>
      <c r="K5" s="5" t="n">
        <v>9</v>
      </c>
      <c r="L5" s="5" t="n">
        <v>10</v>
      </c>
      <c r="M5" s="5" t="n">
        <v>11</v>
      </c>
      <c r="N5" s="5" t="n">
        <v>12</v>
      </c>
      <c r="O5" s="5" t="n">
        <v>13</v>
      </c>
      <c r="P5" s="5" t="n">
        <v>14</v>
      </c>
      <c r="Q5" s="5" t="n">
        <v>15</v>
      </c>
      <c r="R5" s="5" t="n">
        <v>16</v>
      </c>
      <c r="S5" s="5" t="n">
        <v>17</v>
      </c>
      <c r="T5" s="5" t="n">
        <v>18</v>
      </c>
      <c r="U5" s="5" t="n">
        <v>19</v>
      </c>
      <c r="V5" s="5" t="n">
        <v>20</v>
      </c>
      <c r="W5" s="5" t="n">
        <v>21</v>
      </c>
      <c r="X5" s="5" t="n">
        <v>22</v>
      </c>
      <c r="Y5" s="5" t="n">
        <v>23</v>
      </c>
      <c r="Z5" s="5" t="n">
        <v>24</v>
      </c>
      <c r="AA5" s="5" t="n">
        <v>25</v>
      </c>
      <c r="AB5" s="5" t="n">
        <v>26</v>
      </c>
      <c r="AC5" s="5" t="n">
        <v>27</v>
      </c>
      <c r="AD5" s="5" t="n">
        <v>28</v>
      </c>
      <c r="AE5" s="5" t="n">
        <v>29</v>
      </c>
      <c r="AF5" s="5" t="n">
        <v>30</v>
      </c>
      <c r="AG5" s="5" t="n">
        <v>31</v>
      </c>
    </row>
    <row r="6" customFormat="false" ht="27.75" hidden="false" customHeight="true" outlineLevel="0" collapsed="false">
      <c r="A6" s="6" t="s">
        <v>4</v>
      </c>
      <c r="B6" s="6" t="s">
        <v>5</v>
      </c>
      <c r="C6" s="6"/>
      <c r="D6" s="7" t="s">
        <v>6</v>
      </c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customFormat="false" ht="27.75" hidden="false" customHeight="true" outlineLevel="0" collapsed="false">
      <c r="A7" s="6" t="s">
        <v>7</v>
      </c>
      <c r="B7" s="6" t="s">
        <v>5</v>
      </c>
      <c r="C7" s="6"/>
      <c r="D7" s="6"/>
      <c r="E7" s="6"/>
      <c r="F7" s="6"/>
      <c r="G7" s="8" t="s">
        <v>8</v>
      </c>
      <c r="H7" s="8"/>
      <c r="I7" s="8"/>
      <c r="J7" s="8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customFormat="false" ht="27.75" hidden="false" customHeight="true" outlineLevel="0" collapsed="false">
      <c r="A8" s="6" t="s">
        <v>9</v>
      </c>
      <c r="B8" s="6" t="s">
        <v>5</v>
      </c>
      <c r="C8" s="6"/>
      <c r="D8" s="6"/>
      <c r="E8" s="6"/>
      <c r="F8" s="6"/>
      <c r="G8" s="6"/>
      <c r="H8" s="6"/>
      <c r="I8" s="6"/>
      <c r="J8" s="7" t="s">
        <v>10</v>
      </c>
      <c r="K8" s="7"/>
      <c r="L8" s="7"/>
      <c r="M8" s="7"/>
      <c r="N8" s="7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customFormat="false" ht="27.75" hidden="false" customHeight="true" outlineLevel="0" collapsed="false">
      <c r="A9" s="6" t="s">
        <v>11</v>
      </c>
      <c r="B9" s="6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9" t="s">
        <v>12</v>
      </c>
      <c r="N9" s="9"/>
      <c r="O9" s="9"/>
      <c r="P9" s="9"/>
      <c r="Q9" s="9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customFormat="false" ht="27.75" hidden="false" customHeight="true" outlineLevel="0" collapsed="false">
      <c r="A10" s="6" t="s">
        <v>13</v>
      </c>
      <c r="B10" s="6" t="s">
        <v>14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 t="s">
        <v>15</v>
      </c>
      <c r="Q10" s="7"/>
      <c r="R10" s="7"/>
      <c r="S10" s="7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customFormat="false" ht="27.75" hidden="false" customHeight="true" outlineLevel="0" collapsed="false">
      <c r="A11" s="6" t="s">
        <v>16</v>
      </c>
      <c r="B11" s="6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 t="s">
        <v>17</v>
      </c>
      <c r="U11" s="7"/>
      <c r="V11" s="7"/>
      <c r="W11" s="7"/>
      <c r="X11" s="7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customFormat="false" ht="27.75" hidden="false" customHeight="true" outlineLevel="0" collapsed="false">
      <c r="A12" s="6" t="s">
        <v>18</v>
      </c>
      <c r="B12" s="6" t="s">
        <v>14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 t="s">
        <v>19</v>
      </c>
      <c r="W12" s="8"/>
      <c r="X12" s="8"/>
      <c r="Y12" s="8"/>
      <c r="Z12" s="8"/>
      <c r="AA12" s="8"/>
      <c r="AB12" s="6"/>
      <c r="AC12" s="6"/>
      <c r="AD12" s="6"/>
      <c r="AE12" s="6"/>
      <c r="AF12" s="6"/>
      <c r="AG12" s="6"/>
      <c r="AH12" s="6"/>
    </row>
    <row r="13" customFormat="false" ht="27.75" hidden="false" customHeight="true" outlineLevel="0" collapsed="false">
      <c r="A13" s="6" t="s">
        <v>20</v>
      </c>
      <c r="B13" s="6" t="s">
        <v>14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7" t="s">
        <v>21</v>
      </c>
      <c r="AB13" s="7"/>
      <c r="AC13" s="7"/>
      <c r="AD13" s="7"/>
      <c r="AE13" s="7"/>
      <c r="AF13" s="6"/>
      <c r="AG13" s="6"/>
      <c r="AH13" s="6"/>
    </row>
    <row r="14" customFormat="false" ht="21" hidden="false" customHeight="true" outlineLevel="0" collapsed="false">
      <c r="A14" s="6" t="s">
        <v>22</v>
      </c>
      <c r="B14" s="6" t="s">
        <v>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customFormat="false" ht="21" hidden="false" customHeight="true" outlineLevel="0" collapsed="false">
      <c r="A15" s="6" t="s">
        <v>23</v>
      </c>
      <c r="B15" s="6" t="s">
        <v>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8" customFormat="false" ht="21" hidden="false" customHeight="true" outlineLevel="0" collapsed="false">
      <c r="A18" s="10" t="s">
        <v>24</v>
      </c>
      <c r="B18" s="11" t="n">
        <f aca="false">COUNTA(C6:AG15)/(10*31)</f>
        <v>0.0258064516129032</v>
      </c>
      <c r="D18" s="12" t="s">
        <v>25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customFormat="false" ht="21" hidden="false" customHeight="true" outlineLevel="0" collapsed="false">
      <c r="A19" s="10" t="s">
        <v>26</v>
      </c>
      <c r="B19" s="13" t="n">
        <f aca="false">AVERAGE(Rates!C2:C11)</f>
        <v>213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</sheetData>
  <mergeCells count="3">
    <mergeCell ref="A2:AH2"/>
    <mergeCell ref="A3:AH3"/>
    <mergeCell ref="D18:Q1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customFormat="false" ht="21" hidden="false" customHeight="true" outlineLevel="0" collapsed="false">
      <c r="A2" s="15" t="s">
        <v>27</v>
      </c>
      <c r="B2" s="15" t="s">
        <v>2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customFormat="false" ht="21" hidden="false" customHeight="true" outlineLevel="0" collapsed="false">
      <c r="A3" s="16" t="s">
        <v>6</v>
      </c>
      <c r="B3" s="16" t="s">
        <v>4</v>
      </c>
      <c r="C3" s="17" t="n">
        <v>46083</v>
      </c>
      <c r="D3" s="17" t="n">
        <v>46085</v>
      </c>
      <c r="E3" s="16" t="s">
        <v>34</v>
      </c>
      <c r="F3" s="16" t="s">
        <v>35</v>
      </c>
      <c r="G3" s="16" t="n">
        <f aca="false">D3-C3</f>
        <v>2</v>
      </c>
      <c r="H3" s="16" t="n">
        <f aca="false">G3*INDEX(Rates!C:C,MATCH(B3,Rates!A:A,0))</f>
        <v>300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customFormat="false" ht="21" hidden="false" customHeight="true" outlineLevel="0" collapsed="false">
      <c r="A4" s="16" t="s">
        <v>36</v>
      </c>
      <c r="B4" s="16" t="s">
        <v>7</v>
      </c>
      <c r="C4" s="17" t="n">
        <v>46082</v>
      </c>
      <c r="D4" s="17" t="n">
        <v>46083</v>
      </c>
      <c r="E4" s="16" t="s">
        <v>37</v>
      </c>
      <c r="F4" s="16" t="s">
        <v>35</v>
      </c>
      <c r="G4" s="16" t="n">
        <f aca="false">D4-C4</f>
        <v>1</v>
      </c>
      <c r="H4" s="16" t="n">
        <f aca="false">G4*INDEX(Rates!C:C,MATCH(B4,Rates!A:A,0))</f>
        <v>168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customFormat="false" ht="21" hidden="false" customHeight="true" outlineLevel="0" collapsed="false">
      <c r="A5" s="16" t="s">
        <v>38</v>
      </c>
      <c r="B5" s="16" t="s">
        <v>9</v>
      </c>
      <c r="C5" s="17" t="n">
        <v>46086</v>
      </c>
      <c r="D5" s="17" t="n">
        <v>46089</v>
      </c>
      <c r="E5" s="16" t="s">
        <v>34</v>
      </c>
      <c r="F5" s="16" t="s">
        <v>35</v>
      </c>
      <c r="G5" s="16" t="n">
        <f aca="false">D5-C5</f>
        <v>3</v>
      </c>
      <c r="H5" s="16" t="n">
        <f aca="false">G5*INDEX(Rates!C:C,MATCH(B5,Rates!A:A,0))</f>
        <v>558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customFormat="false" ht="21" hidden="false" customHeight="true" outlineLevel="0" collapsed="false">
      <c r="A6" s="16" t="s">
        <v>39</v>
      </c>
      <c r="B6" s="16" t="s">
        <v>40</v>
      </c>
      <c r="C6" s="17" t="n">
        <v>46090</v>
      </c>
      <c r="D6" s="17" t="n">
        <v>46093</v>
      </c>
      <c r="E6" s="16" t="s">
        <v>41</v>
      </c>
      <c r="F6" s="16" t="s">
        <v>35</v>
      </c>
      <c r="G6" s="16" t="n">
        <f aca="false">D6-C6</f>
        <v>3</v>
      </c>
      <c r="H6" s="16" t="n">
        <f aca="false">G6*INDEX(Rates!C:C,MATCH(B6,Rates!A:A,0))</f>
        <v>612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customFormat="false" ht="21" hidden="false" customHeight="true" outlineLevel="0" collapsed="false">
      <c r="A7" s="16" t="s">
        <v>42</v>
      </c>
      <c r="B7" s="16" t="s">
        <v>43</v>
      </c>
      <c r="C7" s="17" t="n">
        <v>46094</v>
      </c>
      <c r="D7" s="17" t="n">
        <v>46098</v>
      </c>
      <c r="E7" s="16" t="s">
        <v>34</v>
      </c>
      <c r="F7" s="16" t="s">
        <v>44</v>
      </c>
      <c r="G7" s="16" t="n">
        <f aca="false">D7-C7</f>
        <v>4</v>
      </c>
      <c r="H7" s="16" t="n">
        <f aca="false">G7*INDEX(Rates!C:C,MATCH(B7,Rates!A:A,0))</f>
        <v>888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customFormat="false" ht="21" hidden="false" customHeight="true" outlineLevel="0" collapsed="false">
      <c r="A8" s="16" t="s">
        <v>45</v>
      </c>
      <c r="B8" s="16" t="s">
        <v>46</v>
      </c>
      <c r="C8" s="17" t="n">
        <v>46084</v>
      </c>
      <c r="D8" s="17" t="n">
        <v>46087</v>
      </c>
      <c r="E8" s="16" t="s">
        <v>37</v>
      </c>
      <c r="F8" s="16" t="s">
        <v>44</v>
      </c>
      <c r="G8" s="16" t="n">
        <f aca="false">D8-C8</f>
        <v>3</v>
      </c>
      <c r="H8" s="16" t="n">
        <f aca="false">G8*INDEX(Rates!C:C,MATCH(B8,Rates!A:A,0))</f>
        <v>720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customFormat="false" ht="21" hidden="false" customHeight="true" outlineLevel="0" collapsed="false">
      <c r="A9" s="16" t="s">
        <v>47</v>
      </c>
      <c r="B9" s="16" t="s">
        <v>48</v>
      </c>
      <c r="C9" s="17" t="n">
        <v>46099</v>
      </c>
      <c r="D9" s="17" t="n">
        <v>46103</v>
      </c>
      <c r="E9" s="16" t="s">
        <v>49</v>
      </c>
      <c r="F9" s="16" t="s">
        <v>50</v>
      </c>
      <c r="G9" s="16" t="n">
        <f aca="false">D9-C9</f>
        <v>4</v>
      </c>
      <c r="H9" s="16" t="n">
        <f aca="false">G9*INDEX(Rates!C:C,MATCH(B9,Rates!A:A,0))</f>
        <v>1032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customFormat="false" ht="21" hidden="false" customHeight="true" outlineLevel="0" collapsed="false">
      <c r="A10" s="16" t="s">
        <v>51</v>
      </c>
      <c r="B10" s="16" t="s">
        <v>52</v>
      </c>
      <c r="C10" s="17" t="n">
        <v>46104</v>
      </c>
      <c r="D10" s="17" t="n">
        <v>46108</v>
      </c>
      <c r="E10" s="16" t="s">
        <v>34</v>
      </c>
      <c r="F10" s="16" t="s">
        <v>44</v>
      </c>
      <c r="G10" s="16" t="n">
        <f aca="false">D10-C10</f>
        <v>4</v>
      </c>
      <c r="H10" s="16" t="n">
        <f aca="false">G10*INDEX(Rates!C:C,MATCH(B10,Rates!A:A,0))</f>
        <v>1104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customFormat="false" ht="21" hidden="false" customHeight="true" outlineLevel="0" collapsed="false">
      <c r="A11" s="16" t="s">
        <v>53</v>
      </c>
      <c r="B11" s="16" t="s">
        <v>4</v>
      </c>
      <c r="C11" s="17" t="n">
        <v>46097</v>
      </c>
      <c r="D11" s="17" t="n">
        <v>46101</v>
      </c>
      <c r="E11" s="16" t="s">
        <v>34</v>
      </c>
      <c r="F11" s="16" t="s">
        <v>35</v>
      </c>
      <c r="G11" s="16" t="n">
        <f aca="false">D11-C11</f>
        <v>4</v>
      </c>
      <c r="H11" s="16" t="n">
        <f aca="false">G11*INDEX(Rates!C:C,MATCH(B11,Rates!A:A,0))</f>
        <v>600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customFormat="false" ht="21" hidden="false" customHeight="true" outlineLevel="0" collapsed="false">
      <c r="A12" s="16" t="s">
        <v>54</v>
      </c>
      <c r="B12" s="16" t="s">
        <v>7</v>
      </c>
      <c r="C12" s="17" t="n">
        <v>46102</v>
      </c>
      <c r="D12" s="17" t="n">
        <v>46106</v>
      </c>
      <c r="E12" s="16" t="s">
        <v>41</v>
      </c>
      <c r="F12" s="16" t="s">
        <v>35</v>
      </c>
      <c r="G12" s="16" t="n">
        <f aca="false">D12-C12</f>
        <v>4</v>
      </c>
      <c r="H12" s="16" t="n">
        <f aca="false">G12*INDEX(Rates!C:C,MATCH(B12,Rates!A:A,0))</f>
        <v>672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customFormat="false" ht="21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customFormat="false" ht="21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customFormat="false" ht="21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customFormat="false" ht="21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customFormat="false" ht="21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customFormat="false" ht="21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customFormat="false" ht="21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customFormat="false" ht="21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customFormat="false" ht="21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customFormat="false" ht="21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customFormat="false" ht="21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customFormat="false" ht="21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customFormat="false" ht="21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customFormat="false" ht="21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customFormat="false" ht="21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customFormat="false" ht="21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customFormat="false" ht="21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customFormat="false" ht="21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customFormat="false" ht="21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customFormat="false" ht="21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customFormat="false" ht="21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customFormat="false" ht="21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customFormat="false" ht="21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customFormat="false" ht="21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customFormat="false" ht="21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customFormat="false" ht="21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customFormat="false" ht="21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customFormat="false" ht="21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customFormat="false" ht="21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customFormat="false" ht="21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customFormat="false" ht="21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customFormat="false" ht="21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customFormat="false" ht="21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customFormat="false" ht="21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customFormat="false" ht="21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customFormat="false" ht="21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customFormat="false" ht="21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customFormat="false" ht="21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customFormat="false" ht="21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customFormat="false" ht="21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customFormat="false" ht="21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customFormat="false" ht="21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customFormat="false" ht="21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customFormat="false" ht="21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customFormat="false" ht="21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customFormat="false" ht="21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customFormat="false" ht="21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customFormat="false" ht="21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customFormat="false" ht="21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customFormat="false" ht="21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customFormat="false" ht="21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customFormat="false" ht="21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customFormat="false" ht="21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customFormat="false" ht="21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customFormat="false" ht="21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customFormat="false" ht="21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customFormat="false" ht="21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customFormat="false" ht="21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autoFilter ref="A2:H12"/>
  <dataValidations count="3">
    <dataValidation allowBlank="false" errorStyle="stop" operator="between" showDropDown="false" showErrorMessage="false" showInputMessage="false" sqref="B3:B50" type="list">
      <formula1>"Azul,Sol,Luna,Cactus,Mariposa,Olive,Adobe,Paloma"</formula1>
      <formula2>0</formula2>
    </dataValidation>
    <dataValidation allowBlank="false" errorStyle="stop" operator="between" showDropDown="false" showErrorMessage="false" showInputMessage="false" sqref="E3:E50" type="list">
      <formula1>"Confirmed,Checked In,VIP,Hold,Cancelled"</formula1>
      <formula2>0</formula2>
    </dataValidation>
    <dataValidation allowBlank="false" errorStyle="stop" operator="between" showDropDown="false" showErrorMessage="false" showInputMessage="false" sqref="F3:F50" type="list">
      <formula1>"Direct,OTA,Phone,Travel Agent"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6644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5" t="s">
        <v>2</v>
      </c>
      <c r="B1" s="15" t="s">
        <v>3</v>
      </c>
      <c r="C1" s="15" t="s">
        <v>26</v>
      </c>
      <c r="D1" s="15" t="s">
        <v>55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customFormat="false" ht="21" hidden="false" customHeight="true" outlineLevel="0" collapsed="false">
      <c r="A2" s="16" t="s">
        <v>4</v>
      </c>
      <c r="B2" s="16" t="s">
        <v>5</v>
      </c>
      <c r="C2" s="16" t="n">
        <v>150</v>
      </c>
      <c r="D2" s="16" t="n">
        <v>25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customFormat="false" ht="21" hidden="false" customHeight="true" outlineLevel="0" collapsed="false">
      <c r="A3" s="16" t="s">
        <v>7</v>
      </c>
      <c r="B3" s="16" t="s">
        <v>5</v>
      </c>
      <c r="C3" s="16" t="n">
        <v>168</v>
      </c>
      <c r="D3" s="16" t="n">
        <v>25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customFormat="false" ht="21" hidden="false" customHeight="true" outlineLevel="0" collapsed="false">
      <c r="A4" s="16" t="s">
        <v>9</v>
      </c>
      <c r="B4" s="16" t="s">
        <v>56</v>
      </c>
      <c r="C4" s="16" t="n">
        <v>186</v>
      </c>
      <c r="D4" s="16" t="n">
        <v>25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customFormat="false" ht="21" hidden="false" customHeight="true" outlineLevel="0" collapsed="false">
      <c r="A5" s="16" t="s">
        <v>40</v>
      </c>
      <c r="B5" s="16" t="s">
        <v>56</v>
      </c>
      <c r="C5" s="16" t="n">
        <v>204</v>
      </c>
      <c r="D5" s="16" t="n">
        <v>25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customFormat="false" ht="21" hidden="false" customHeight="true" outlineLevel="0" collapsed="false">
      <c r="A6" s="16" t="s">
        <v>43</v>
      </c>
      <c r="B6" s="16" t="s">
        <v>56</v>
      </c>
      <c r="C6" s="16" t="n">
        <v>222</v>
      </c>
      <c r="D6" s="16" t="n">
        <v>25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customFormat="false" ht="21" hidden="false" customHeight="true" outlineLevel="0" collapsed="false">
      <c r="A7" s="16" t="s">
        <v>46</v>
      </c>
      <c r="B7" s="16" t="s">
        <v>56</v>
      </c>
      <c r="C7" s="16" t="n">
        <v>240</v>
      </c>
      <c r="D7" s="16" t="n">
        <v>25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customFormat="false" ht="21" hidden="false" customHeight="true" outlineLevel="0" collapsed="false">
      <c r="A8" s="16" t="s">
        <v>48</v>
      </c>
      <c r="B8" s="16" t="s">
        <v>5</v>
      </c>
      <c r="C8" s="16" t="n">
        <v>258</v>
      </c>
      <c r="D8" s="16" t="n">
        <v>25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customFormat="false" ht="21" hidden="false" customHeight="true" outlineLevel="0" collapsed="false">
      <c r="A9" s="16" t="s">
        <v>52</v>
      </c>
      <c r="B9" s="16" t="s">
        <v>56</v>
      </c>
      <c r="C9" s="16" t="n">
        <v>276</v>
      </c>
      <c r="D9" s="16" t="n">
        <v>25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customFormat="false" ht="21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customFormat="false" ht="21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customFormat="false" ht="21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customFormat="false" ht="21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customFormat="false" ht="21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customFormat="false" ht="21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customFormat="false" ht="21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customFormat="false" ht="21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customFormat="false" ht="21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customFormat="false" ht="21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customFormat="false" ht="21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customFormat="false" ht="21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customFormat="false" ht="21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customFormat="false" ht="21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customFormat="false" ht="21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customFormat="false" ht="21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customFormat="false" ht="21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customFormat="false" ht="21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customFormat="false" ht="21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customFormat="false" ht="21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customFormat="false" ht="21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customFormat="false" ht="21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customFormat="false" ht="21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customFormat="false" ht="21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customFormat="false" ht="21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customFormat="false" ht="21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customFormat="false" ht="21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customFormat="false" ht="21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customFormat="false" ht="21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customFormat="false" ht="21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customFormat="false" ht="21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customFormat="false" ht="21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customFormat="false" ht="21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customFormat="false" ht="21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customFormat="false" ht="21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customFormat="false" ht="21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customFormat="false" ht="21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customFormat="false" ht="21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customFormat="false" ht="21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customFormat="false" ht="21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customFormat="false" ht="21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customFormat="false" ht="21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customFormat="false" ht="21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customFormat="false" ht="21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customFormat="false" ht="21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customFormat="false" ht="21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customFormat="false" ht="21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customFormat="false" ht="21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customFormat="false" ht="21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customFormat="false" ht="21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customFormat="false" ht="21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customFormat="false" ht="21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customFormat="false" ht="21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customFormat="false" ht="21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customFormat="false" ht="21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customFormat="false" ht="21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customFormat="false" ht="21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customFormat="false" ht="21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customFormat="false" ht="21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customFormat="false" ht="21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customFormat="false" ht="21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2026-08-10T09:58:09Z</dcterms:created>
  <dc:creator>openpyxl</dc:creator>
  <dc:description/>
  <dc:language>en-US</dc:language>
  <cp:lastModifiedBy/>
  <dcterms:modified xsi:type="dcterms:W3CDTF">2026-08-10T10:19:14Z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