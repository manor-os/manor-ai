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xception Board" sheetId="1" state="visible" r:id="rId1"/>
    <sheet name="SKU Ledger" sheetId="2" state="visible" r:id="rId2"/>
    <sheet name="Suppliers" sheetId="3" state="visible" r:id="rId3"/>
  </sheets>
  <definedNames>
    <definedName name="_xlnm._FilterDatabase" localSheetId="0" hidden="1">'Exception Board'!$A$3:$H$21</definedName>
    <definedName name="_xlnm.Print_Area" localSheetId="0">'Exception Board'!$A$1:$Q$24</definedName>
    <definedName name="_xlnm._FilterDatabase" localSheetId="1" hidden="1">'SKU Ledger'!$A$2:$F$22</definedName>
    <definedName name="_xlnm._FilterDatabase" localSheetId="2" hidden="1">'Suppliers'!$A$2:$E$5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 Black"/>
      <charset val="1"/>
      <family val="0"/>
      <b val="1"/>
      <color rgb="FF243B53"/>
      <sz val="2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color rgb="00E9F0F5"/>
      <sz val="10"/>
    </font>
  </fonts>
  <fills count="5">
    <fill>
      <patternFill/>
    </fill>
    <fill>
      <patternFill patternType="gray125"/>
    </fill>
    <fill>
      <patternFill patternType="solid">
        <fgColor rgb="FFE8EEF3"/>
        <bgColor rgb="FFD9E2EA"/>
      </patternFill>
    </fill>
    <fill>
      <patternFill patternType="solid">
        <fgColor rgb="FF335C67"/>
        <bgColor rgb="FF243B53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164" fontId="5" fillId="2" borderId="0" applyAlignment="1" pivotButton="0" quotePrefix="0" xfId="0">
      <alignment horizontal="left" vertical="center"/>
    </xf>
    <xf numFmtId="9" fontId="5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left" vertical="center"/>
    </xf>
    <xf numFmtId="9" fontId="9" fillId="2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335C67"/>
          <bgColor rgb="FF000000"/>
        </patternFill>
      </fill>
    </dxf>
    <dxf>
      <fill>
        <patternFill patternType="solid">
          <fgColor rgb="FFE8EE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E8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7C2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5C67"/>
      <rgbColor rgb="FF243B5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INVENTORY EXPOSURE PARETO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'Exception Board'!K3</f>
            </strRef>
          </tx>
          <spPr>
            <a:ln>
              <a:prstDash val="solid"/>
            </a:ln>
          </spPr>
          <cat>
            <numRef>
              <f>'Exception Board'!$J$4:$J$21</f>
            </numRef>
          </cat>
          <val>
            <numRef>
              <f>'Exception Board'!$K$4:$K$21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'Exception Board'!L3</f>
            </strRef>
          </tx>
          <spPr>
            <a:ln w="36000">
              <a:solidFill>
                <a:srgbClr val="FF7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'Exception Board'!$L$4:$L$21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All SKU items · descending exposure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xceptionBoard31" displayName="TExceptionBoard31" ref="A3:H21" headerRowCount="1" totalsRowCount="0" totalsRowShown="0">
  <autoFilter ref="A3:H21"/>
  <tableColumns count="8">
    <tableColumn id="1" name="SKU"/>
    <tableColumn id="2" name="Item"/>
    <tableColumn id="3" name="Exposure $"/>
    <tableColumn id="4" name="Days Cover"/>
    <tableColumn id="5" name="Aging Band"/>
    <tableColumn id="6" name="Owner"/>
    <tableColumn id="7" name="Status"/>
    <tableColumn id="8" name="Action"/>
  </tableColumns>
</table>
</file>

<file path=xl/tables/table2.xml><?xml version="1.0" encoding="utf-8"?>
<table xmlns="http://schemas.openxmlformats.org/spreadsheetml/2006/main" id="2" name="TSKULedger21" displayName="TSKULedger21" ref="A2:F22" headerRowCount="1" totalsRowCount="0" totalsRowShown="0">
  <autoFilter ref="A2:F22"/>
  <tableColumns count="6">
    <tableColumn id="1" name="SKU"/>
    <tableColumn id="2" name="On Hand"/>
    <tableColumn id="3" name="Demand / Day"/>
    <tableColumn id="4" name="Lead Time Days"/>
    <tableColumn id="5" name="Reorder Point"/>
    <tableColumn id="6" name="Reorder Qty"/>
  </tableColumns>
</table>
</file>

<file path=xl/tables/table3.xml><?xml version="1.0" encoding="utf-8"?>
<table xmlns="http://schemas.openxmlformats.org/spreadsheetml/2006/main" id="3" name="TSuppliers21" displayName="TSuppliers21" ref="A2:E5" headerRowCount="1" totalsRowCount="0" totalsRowShown="0">
  <autoFilter ref="A2:E5"/>
  <tableColumns count="5">
    <tableColumn id="1" name="Supplier"/>
    <tableColumn id="2" name="Category"/>
    <tableColumn id="3" name="Lead Time Days"/>
    <tableColumn id="4" name="Reliability"/>
    <tableColumn id="5" name="Contac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 filterMode="0">
    <tabColor rgb="FFF47C20"/>
    <outlinePr summaryBelow="1" summaryRight="1"/>
    <pageSetUpPr fitToPage="1"/>
  </sheetPr>
  <dimension ref="A1:AD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21" customHeight="1" zeroHeight="0" outlineLevelRow="0"/>
  <cols>
    <col width="14" customWidth="1" style="8" min="1" max="31"/>
    <col width="18" customWidth="1" style="9" min="2" max="2"/>
    <col width="14" customWidth="1" style="9" min="3" max="3"/>
    <col width="12" customWidth="1" style="9" min="4" max="4"/>
    <col width="14" customWidth="1" style="9" min="5" max="5"/>
    <col width="12" customWidth="1" style="9" min="6" max="6"/>
    <col width="12" customWidth="1" style="9" min="7" max="7"/>
    <col width="20" customWidth="1" style="9" min="8" max="8"/>
  </cols>
  <sheetData>
    <row r="1" ht="21" customHeight="1" s="9">
      <c r="A1" s="10" t="inlineStr">
        <is>
          <t>FORGE INVENTORY EXCEPTION CONTROL</t>
        </is>
      </c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</row>
    <row r="2" ht="21" customHeight="1" s="9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</row>
    <row r="3" ht="21" customHeight="1" s="9">
      <c r="A3" s="12" t="inlineStr">
        <is>
          <t>SKU</t>
        </is>
      </c>
      <c r="B3" s="12" t="inlineStr">
        <is>
          <t>Item</t>
        </is>
      </c>
      <c r="C3" s="12" t="inlineStr">
        <is>
          <t>Exposure $</t>
        </is>
      </c>
      <c r="D3" s="12" t="inlineStr">
        <is>
          <t>Days Cover</t>
        </is>
      </c>
      <c r="E3" s="12" t="inlineStr">
        <is>
          <t>Aging Band</t>
        </is>
      </c>
      <c r="F3" s="12" t="inlineStr">
        <is>
          <t>Owner</t>
        </is>
      </c>
      <c r="G3" s="12" t="inlineStr">
        <is>
          <t>Status</t>
        </is>
      </c>
      <c r="H3" s="12" t="inlineStr">
        <is>
          <t>Action</t>
        </is>
      </c>
      <c r="I3" s="11" t="n"/>
      <c r="J3" s="18" t="inlineStr">
        <is>
          <t>ITEM</t>
        </is>
      </c>
      <c r="K3" s="18" t="inlineStr">
        <is>
          <t>EXPOSURE</t>
        </is>
      </c>
      <c r="L3" s="18" t="inlineStr">
        <is>
          <t>CUMULATIVE %</t>
        </is>
      </c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</row>
    <row r="4" ht="21" customHeight="1" s="9">
      <c r="A4" s="13" t="inlineStr">
        <is>
          <t>FG-2100</t>
        </is>
      </c>
      <c r="B4" s="13" t="inlineStr">
        <is>
          <t>Part A</t>
        </is>
      </c>
      <c r="C4" s="13" t="n">
        <v>1200</v>
      </c>
      <c r="D4" s="13" t="n">
        <v>3</v>
      </c>
      <c r="E4" s="13">
        <f>IF(D4&lt;7,"Critical",IF(D4&lt;14,"Watch","Stable"))</f>
        <v/>
      </c>
      <c r="F4" s="13" t="inlineStr">
        <is>
          <t>Cam</t>
        </is>
      </c>
      <c r="G4" s="13" t="inlineStr">
        <is>
          <t>Open</t>
        </is>
      </c>
      <c r="H4" s="13">
        <f>IF(D4&lt;7,"Reorder now",IF(C4&gt;5000,"Supplier call","Monitor"))</f>
        <v/>
      </c>
      <c r="I4" s="11" t="n"/>
      <c r="J4" s="18" t="inlineStr">
        <is>
          <t>Part R</t>
        </is>
      </c>
      <c r="K4" s="19" t="n">
        <v>9190</v>
      </c>
      <c r="L4" s="20" t="n">
        <v>0.09827825900973158</v>
      </c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</row>
    <row r="5" ht="21" customHeight="1" s="9">
      <c r="A5" s="13" t="inlineStr">
        <is>
          <t>FG-2101</t>
        </is>
      </c>
      <c r="B5" s="13" t="inlineStr">
        <is>
          <t>Part B</t>
        </is>
      </c>
      <c r="C5" s="13" t="n">
        <v>1670</v>
      </c>
      <c r="D5" s="13" t="n">
        <v>6</v>
      </c>
      <c r="E5" s="13">
        <f>IF(D5&lt;7,"Critical",IF(D5&lt;14,"Watch","Stable"))</f>
        <v/>
      </c>
      <c r="F5" s="13" t="inlineStr">
        <is>
          <t>Ari</t>
        </is>
      </c>
      <c r="G5" s="13" t="inlineStr">
        <is>
          <t>Hold</t>
        </is>
      </c>
      <c r="H5" s="13">
        <f>IF(D5&lt;7,"Reorder now",IF(C5&gt;5000,"Supplier call","Monitor"))</f>
        <v/>
      </c>
      <c r="I5" s="11" t="n"/>
      <c r="J5" s="18" t="inlineStr">
        <is>
          <t>Part Q</t>
        </is>
      </c>
      <c r="K5" s="19" t="n">
        <v>8720</v>
      </c>
      <c r="L5" s="20" t="n">
        <v>0.1915303176130895</v>
      </c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</row>
    <row r="6" ht="21" customHeight="1" s="9">
      <c r="A6" s="13" t="inlineStr">
        <is>
          <t>FG-2102</t>
        </is>
      </c>
      <c r="B6" s="13" t="inlineStr">
        <is>
          <t>Part C</t>
        </is>
      </c>
      <c r="C6" s="13" t="n">
        <v>2140</v>
      </c>
      <c r="D6" s="13" t="n">
        <v>11</v>
      </c>
      <c r="E6" s="13">
        <f>IF(D6&lt;7,"Critical",IF(D6&lt;14,"Watch","Stable"))</f>
        <v/>
      </c>
      <c r="F6" s="13" t="inlineStr">
        <is>
          <t>Cam</t>
        </is>
      </c>
      <c r="G6" s="13" t="inlineStr">
        <is>
          <t>Hold</t>
        </is>
      </c>
      <c r="H6" s="13">
        <f>IF(D6&lt;7,"Reorder now",IF(C6&gt;5000,"Supplier call","Monitor"))</f>
        <v/>
      </c>
      <c r="I6" s="11" t="n"/>
      <c r="J6" s="18" t="inlineStr">
        <is>
          <t>Part P</t>
        </is>
      </c>
      <c r="K6" s="19" t="n">
        <v>8250</v>
      </c>
      <c r="L6" s="20" t="n">
        <v>0.2797561758100738</v>
      </c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</row>
    <row r="7" ht="21" customHeight="1" s="9">
      <c r="A7" s="13" t="inlineStr">
        <is>
          <t>FG-2103</t>
        </is>
      </c>
      <c r="B7" s="13" t="inlineStr">
        <is>
          <t>Part D</t>
        </is>
      </c>
      <c r="C7" s="13" t="n">
        <v>2610</v>
      </c>
      <c r="D7" s="13" t="n">
        <v>19</v>
      </c>
      <c r="E7" s="13">
        <f>IF(D7&lt;7,"Critical",IF(D7&lt;14,"Watch","Stable"))</f>
        <v/>
      </c>
      <c r="F7" s="13" t="inlineStr">
        <is>
          <t>Bea</t>
        </is>
      </c>
      <c r="G7" s="13" t="inlineStr">
        <is>
          <t>Hold</t>
        </is>
      </c>
      <c r="H7" s="13">
        <f>IF(D7&lt;7,"Reorder now",IF(C7&gt;5000,"Supplier call","Monitor"))</f>
        <v/>
      </c>
      <c r="I7" s="11" t="n"/>
      <c r="J7" s="18" t="inlineStr">
        <is>
          <t>Part O</t>
        </is>
      </c>
      <c r="K7" s="19" t="n">
        <v>7780</v>
      </c>
      <c r="L7" s="20" t="n">
        <v>0.3629558336006844</v>
      </c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</row>
    <row r="8" ht="21" customHeight="1" s="9">
      <c r="A8" s="13" t="inlineStr">
        <is>
          <t>FG-2104</t>
        </is>
      </c>
      <c r="B8" s="13" t="inlineStr">
        <is>
          <t>Part E</t>
        </is>
      </c>
      <c r="C8" s="13" t="n">
        <v>3080</v>
      </c>
      <c r="D8" s="13" t="n">
        <v>28</v>
      </c>
      <c r="E8" s="13">
        <f>IF(D8&lt;7,"Critical",IF(D8&lt;14,"Watch","Stable"))</f>
        <v/>
      </c>
      <c r="F8" s="13" t="inlineStr">
        <is>
          <t>Bea</t>
        </is>
      </c>
      <c r="G8" s="13" t="inlineStr">
        <is>
          <t>Hold</t>
        </is>
      </c>
      <c r="H8" s="13">
        <f>IF(D8&lt;7,"Reorder now",IF(C8&gt;5000,"Supplier call","Monitor"))</f>
        <v/>
      </c>
      <c r="I8" s="11" t="n"/>
      <c r="J8" s="18" t="inlineStr">
        <is>
          <t>Part N</t>
        </is>
      </c>
      <c r="K8" s="19" t="n">
        <v>7310</v>
      </c>
      <c r="L8" s="20" t="n">
        <v>0.4411292909849214</v>
      </c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</row>
    <row r="9" ht="21" customHeight="1" s="9">
      <c r="A9" s="13" t="inlineStr">
        <is>
          <t>FG-2105</t>
        </is>
      </c>
      <c r="B9" s="13" t="inlineStr">
        <is>
          <t>Part F</t>
        </is>
      </c>
      <c r="C9" s="13" t="n">
        <v>3550</v>
      </c>
      <c r="D9" s="13" t="n">
        <v>3</v>
      </c>
      <c r="E9" s="13">
        <f>IF(D9&lt;7,"Critical",IF(D9&lt;14,"Watch","Stable"))</f>
        <v/>
      </c>
      <c r="F9" s="13" t="inlineStr">
        <is>
          <t>Cam</t>
        </is>
      </c>
      <c r="G9" s="13" t="inlineStr">
        <is>
          <t>Ordered</t>
        </is>
      </c>
      <c r="H9" s="13">
        <f>IF(D9&lt;7,"Reorder now",IF(C9&gt;5000,"Supplier call","Monitor"))</f>
        <v/>
      </c>
      <c r="I9" s="11" t="n"/>
      <c r="J9" s="18" t="inlineStr">
        <is>
          <t>Part M</t>
        </is>
      </c>
      <c r="K9" s="19" t="n">
        <v>6840</v>
      </c>
      <c r="L9" s="20" t="n">
        <v>0.5142765479627848</v>
      </c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</row>
    <row r="10" ht="21" customHeight="1" s="9">
      <c r="A10" s="13" t="inlineStr">
        <is>
          <t>FG-2106</t>
        </is>
      </c>
      <c r="B10" s="13" t="inlineStr">
        <is>
          <t>Part G</t>
        </is>
      </c>
      <c r="C10" s="13" t="n">
        <v>4020</v>
      </c>
      <c r="D10" s="13" t="n">
        <v>6</v>
      </c>
      <c r="E10" s="13">
        <f>IF(D10&lt;7,"Critical",IF(D10&lt;14,"Watch","Stable"))</f>
        <v/>
      </c>
      <c r="F10" s="13" t="inlineStr">
        <is>
          <t>Cam</t>
        </is>
      </c>
      <c r="G10" s="13" t="inlineStr">
        <is>
          <t>Ordered</t>
        </is>
      </c>
      <c r="H10" s="13">
        <f>IF(D10&lt;7,"Reorder now",IF(C10&gt;5000,"Supplier call","Monitor"))</f>
        <v/>
      </c>
      <c r="I10" s="11" t="n"/>
      <c r="J10" s="18" t="inlineStr">
        <is>
          <t>Part L</t>
        </is>
      </c>
      <c r="K10" s="19" t="n">
        <v>6370</v>
      </c>
      <c r="L10" s="20" t="n">
        <v>0.5823976045342744</v>
      </c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</row>
    <row r="11" ht="21" customHeight="1" s="9">
      <c r="A11" s="13" t="inlineStr">
        <is>
          <t>FG-2107</t>
        </is>
      </c>
      <c r="B11" s="13" t="inlineStr">
        <is>
          <t>Part H</t>
        </is>
      </c>
      <c r="C11" s="13" t="n">
        <v>4490</v>
      </c>
      <c r="D11" s="13" t="n">
        <v>11</v>
      </c>
      <c r="E11" s="13">
        <f>IF(D11&lt;7,"Critical",IF(D11&lt;14,"Watch","Stable"))</f>
        <v/>
      </c>
      <c r="F11" s="13" t="inlineStr">
        <is>
          <t>Ari</t>
        </is>
      </c>
      <c r="G11" s="13" t="inlineStr">
        <is>
          <t>Hold</t>
        </is>
      </c>
      <c r="H11" s="13">
        <f>IF(D11&lt;7,"Reorder now",IF(C11&gt;5000,"Supplier call","Monitor"))</f>
        <v/>
      </c>
      <c r="I11" s="11" t="n"/>
      <c r="J11" s="18" t="inlineStr">
        <is>
          <t>Part K</t>
        </is>
      </c>
      <c r="K11" s="19" t="n">
        <v>5900</v>
      </c>
      <c r="L11" s="20" t="n">
        <v>0.6454924606993905</v>
      </c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</row>
    <row r="12" ht="21" customHeight="1" s="9">
      <c r="A12" s="13" t="inlineStr">
        <is>
          <t>FG-2108</t>
        </is>
      </c>
      <c r="B12" s="13" t="inlineStr">
        <is>
          <t>Part I</t>
        </is>
      </c>
      <c r="C12" s="13" t="n">
        <v>4960</v>
      </c>
      <c r="D12" s="13" t="n">
        <v>19</v>
      </c>
      <c r="E12" s="13">
        <f>IF(D12&lt;7,"Critical",IF(D12&lt;14,"Watch","Stable"))</f>
        <v/>
      </c>
      <c r="F12" s="13" t="inlineStr">
        <is>
          <t>Bea</t>
        </is>
      </c>
      <c r="G12" s="13" t="inlineStr">
        <is>
          <t>Open</t>
        </is>
      </c>
      <c r="H12" s="13">
        <f>IF(D12&lt;7,"Reorder now",IF(C12&gt;5000,"Supplier call","Monitor"))</f>
        <v/>
      </c>
      <c r="I12" s="11" t="n"/>
      <c r="J12" s="18" t="inlineStr">
        <is>
          <t>Part J</t>
        </is>
      </c>
      <c r="K12" s="19" t="n">
        <v>5430</v>
      </c>
      <c r="L12" s="20" t="n">
        <v>0.7035611164581328</v>
      </c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</row>
    <row r="13" ht="21" customHeight="1" s="9">
      <c r="A13" s="13" t="inlineStr">
        <is>
          <t>FG-2109</t>
        </is>
      </c>
      <c r="B13" s="13" t="inlineStr">
        <is>
          <t>Part J</t>
        </is>
      </c>
      <c r="C13" s="13" t="n">
        <v>5430</v>
      </c>
      <c r="D13" s="13" t="n">
        <v>28</v>
      </c>
      <c r="E13" s="13">
        <f>IF(D13&lt;7,"Critical",IF(D13&lt;14,"Watch","Stable"))</f>
        <v/>
      </c>
      <c r="F13" s="13" t="inlineStr">
        <is>
          <t>Cam</t>
        </is>
      </c>
      <c r="G13" s="13" t="inlineStr">
        <is>
          <t>Open</t>
        </is>
      </c>
      <c r="H13" s="13">
        <f>IF(D13&lt;7,"Reorder now",IF(C13&gt;5000,"Supplier call","Monitor"))</f>
        <v/>
      </c>
      <c r="I13" s="11" t="n"/>
      <c r="J13" s="18" t="inlineStr">
        <is>
          <t>Part I</t>
        </is>
      </c>
      <c r="K13" s="19" t="n">
        <v>4960</v>
      </c>
      <c r="L13" s="20" t="n">
        <v>0.7566035718105015</v>
      </c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</row>
    <row r="14" ht="21" customHeight="1" s="9">
      <c r="A14" s="13" t="inlineStr">
        <is>
          <t>FG-2110</t>
        </is>
      </c>
      <c r="B14" s="13" t="inlineStr">
        <is>
          <t>Part K</t>
        </is>
      </c>
      <c r="C14" s="13" t="n">
        <v>5900</v>
      </c>
      <c r="D14" s="13" t="n">
        <v>3</v>
      </c>
      <c r="E14" s="13">
        <f>IF(D14&lt;7,"Critical",IF(D14&lt;14,"Watch","Stable"))</f>
        <v/>
      </c>
      <c r="F14" s="13" t="inlineStr">
        <is>
          <t>Bea</t>
        </is>
      </c>
      <c r="G14" s="13" t="inlineStr">
        <is>
          <t>Hold</t>
        </is>
      </c>
      <c r="H14" s="13">
        <f>IF(D14&lt;7,"Reorder now",IF(C14&gt;5000,"Supplier call","Monitor"))</f>
        <v/>
      </c>
      <c r="I14" s="11" t="n"/>
      <c r="J14" s="18" t="inlineStr">
        <is>
          <t>Part H</t>
        </is>
      </c>
      <c r="K14" s="19" t="n">
        <v>4490</v>
      </c>
      <c r="L14" s="20" t="n">
        <v>0.8046198267564967</v>
      </c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</row>
    <row r="15" ht="21" customHeight="1" s="9">
      <c r="A15" s="13" t="inlineStr">
        <is>
          <t>FG-2111</t>
        </is>
      </c>
      <c r="B15" s="13" t="inlineStr">
        <is>
          <t>Part L</t>
        </is>
      </c>
      <c r="C15" s="13" t="n">
        <v>6370</v>
      </c>
      <c r="D15" s="13" t="n">
        <v>6</v>
      </c>
      <c r="E15" s="13">
        <f>IF(D15&lt;7,"Critical",IF(D15&lt;14,"Watch","Stable"))</f>
        <v/>
      </c>
      <c r="F15" s="13" t="inlineStr">
        <is>
          <t>Ari</t>
        </is>
      </c>
      <c r="G15" s="13" t="inlineStr">
        <is>
          <t>Open</t>
        </is>
      </c>
      <c r="H15" s="13">
        <f>IF(D15&lt;7,"Reorder now",IF(C15&gt;5000,"Supplier call","Monitor"))</f>
        <v/>
      </c>
      <c r="I15" s="11" t="n"/>
      <c r="J15" s="18" t="inlineStr">
        <is>
          <t>Part G</t>
        </is>
      </c>
      <c r="K15" s="19" t="n">
        <v>4020</v>
      </c>
      <c r="L15" s="20" t="n">
        <v>0.847609881296118</v>
      </c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</row>
    <row r="16" ht="21" customHeight="1" s="9">
      <c r="A16" s="13" t="inlineStr">
        <is>
          <t>FG-2112</t>
        </is>
      </c>
      <c r="B16" s="13" t="inlineStr">
        <is>
          <t>Part M</t>
        </is>
      </c>
      <c r="C16" s="13" t="n">
        <v>6840</v>
      </c>
      <c r="D16" s="13" t="n">
        <v>11</v>
      </c>
      <c r="E16" s="13">
        <f>IF(D16&lt;7,"Critical",IF(D16&lt;14,"Watch","Stable"))</f>
        <v/>
      </c>
      <c r="F16" s="13" t="inlineStr">
        <is>
          <t>Cam</t>
        </is>
      </c>
      <c r="G16" s="13" t="inlineStr">
        <is>
          <t>Hold</t>
        </is>
      </c>
      <c r="H16" s="13">
        <f>IF(D16&lt;7,"Reorder now",IF(C16&gt;5000,"Supplier call","Monitor"))</f>
        <v/>
      </c>
      <c r="I16" s="11" t="n"/>
      <c r="J16" s="18" t="inlineStr">
        <is>
          <t>Part F</t>
        </is>
      </c>
      <c r="K16" s="19" t="n">
        <v>3550</v>
      </c>
      <c r="L16" s="20" t="n">
        <v>0.8855737354293658</v>
      </c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</row>
    <row r="17" ht="21" customHeight="1" s="9">
      <c r="A17" s="13" t="inlineStr">
        <is>
          <t>FG-2113</t>
        </is>
      </c>
      <c r="B17" s="13" t="inlineStr">
        <is>
          <t>Part N</t>
        </is>
      </c>
      <c r="C17" s="13" t="n">
        <v>7310</v>
      </c>
      <c r="D17" s="13" t="n">
        <v>19</v>
      </c>
      <c r="E17" s="13">
        <f>IF(D17&lt;7,"Critical",IF(D17&lt;14,"Watch","Stable"))</f>
        <v/>
      </c>
      <c r="F17" s="13" t="inlineStr">
        <is>
          <t>Ari</t>
        </is>
      </c>
      <c r="G17" s="13" t="inlineStr">
        <is>
          <t>Hold</t>
        </is>
      </c>
      <c r="H17" s="13">
        <f>IF(D17&lt;7,"Reorder now",IF(C17&gt;5000,"Supplier call","Monitor"))</f>
        <v/>
      </c>
      <c r="I17" s="11" t="n"/>
      <c r="J17" s="18" t="inlineStr">
        <is>
          <t>Part E</t>
        </is>
      </c>
      <c r="K17" s="19" t="n">
        <v>3080</v>
      </c>
      <c r="L17" s="20" t="n">
        <v>0.91851138915624</v>
      </c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</row>
    <row r="18" ht="21" customHeight="1" s="9">
      <c r="A18" s="13" t="inlineStr">
        <is>
          <t>FG-2114</t>
        </is>
      </c>
      <c r="B18" s="13" t="inlineStr">
        <is>
          <t>Part O</t>
        </is>
      </c>
      <c r="C18" s="13" t="n">
        <v>7780</v>
      </c>
      <c r="D18" s="13" t="n">
        <v>28</v>
      </c>
      <c r="E18" s="13">
        <f>IF(D18&lt;7,"Critical",IF(D18&lt;14,"Watch","Stable"))</f>
        <v/>
      </c>
      <c r="F18" s="13" t="inlineStr">
        <is>
          <t>Bea</t>
        </is>
      </c>
      <c r="G18" s="13" t="inlineStr">
        <is>
          <t>Hold</t>
        </is>
      </c>
      <c r="H18" s="13">
        <f>IF(D18&lt;7,"Reorder now",IF(C18&gt;5000,"Supplier call","Monitor"))</f>
        <v/>
      </c>
      <c r="I18" s="11" t="n"/>
      <c r="J18" s="18" t="inlineStr">
        <is>
          <t>Part D</t>
        </is>
      </c>
      <c r="K18" s="19" t="n">
        <v>2610</v>
      </c>
      <c r="L18" s="20" t="n">
        <v>0.9464228424767405</v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</row>
    <row r="19" ht="21" customHeight="1" s="9">
      <c r="A19" s="13" t="inlineStr">
        <is>
          <t>FG-2115</t>
        </is>
      </c>
      <c r="B19" s="13" t="inlineStr">
        <is>
          <t>Part P</t>
        </is>
      </c>
      <c r="C19" s="13" t="n">
        <v>8250</v>
      </c>
      <c r="D19" s="13" t="n">
        <v>3</v>
      </c>
      <c r="E19" s="13">
        <f>IF(D19&lt;7,"Critical",IF(D19&lt;14,"Watch","Stable"))</f>
        <v/>
      </c>
      <c r="F19" s="13" t="inlineStr">
        <is>
          <t>Bea</t>
        </is>
      </c>
      <c r="G19" s="13" t="inlineStr">
        <is>
          <t>Hold</t>
        </is>
      </c>
      <c r="H19" s="13">
        <f>IF(D19&lt;7,"Reorder now",IF(C19&gt;5000,"Supplier call","Monitor"))</f>
        <v/>
      </c>
      <c r="I19" s="11" t="n"/>
      <c r="J19" s="18" t="inlineStr">
        <is>
          <t>Part C</t>
        </is>
      </c>
      <c r="K19" s="19" t="n">
        <v>2140</v>
      </c>
      <c r="L19" s="20" t="n">
        <v>0.9693080953908673</v>
      </c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</row>
    <row r="20" ht="21" customHeight="1" s="9">
      <c r="A20" s="13" t="inlineStr">
        <is>
          <t>FG-2116</t>
        </is>
      </c>
      <c r="B20" s="13" t="inlineStr">
        <is>
          <t>Part Q</t>
        </is>
      </c>
      <c r="C20" s="13" t="n">
        <v>8720</v>
      </c>
      <c r="D20" s="13" t="n">
        <v>6</v>
      </c>
      <c r="E20" s="13">
        <f>IF(D20&lt;7,"Critical",IF(D20&lt;14,"Watch","Stable"))</f>
        <v/>
      </c>
      <c r="F20" s="13" t="inlineStr">
        <is>
          <t>Bea</t>
        </is>
      </c>
      <c r="G20" s="13" t="inlineStr">
        <is>
          <t>Open</t>
        </is>
      </c>
      <c r="H20" s="13">
        <f>IF(D20&lt;7,"Reorder now",IF(C20&gt;5000,"Supplier call","Monitor"))</f>
        <v/>
      </c>
      <c r="I20" s="11" t="n"/>
      <c r="J20" s="18" t="inlineStr">
        <is>
          <t>Part B</t>
        </is>
      </c>
      <c r="K20" s="19" t="n">
        <v>1670</v>
      </c>
      <c r="L20" s="20" t="n">
        <v>0.9871671478986205</v>
      </c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</row>
    <row r="21" ht="21" customHeight="1" s="9">
      <c r="A21" s="13" t="inlineStr">
        <is>
          <t>FG-2117</t>
        </is>
      </c>
      <c r="B21" s="13" t="inlineStr">
        <is>
          <t>Part R</t>
        </is>
      </c>
      <c r="C21" s="13" t="n">
        <v>9190</v>
      </c>
      <c r="D21" s="13" t="n">
        <v>11</v>
      </c>
      <c r="E21" s="13">
        <f>IF(D21&lt;7,"Critical",IF(D21&lt;14,"Watch","Stable"))</f>
        <v/>
      </c>
      <c r="F21" s="13" t="inlineStr">
        <is>
          <t>Bea</t>
        </is>
      </c>
      <c r="G21" s="13" t="inlineStr">
        <is>
          <t>Ordered</t>
        </is>
      </c>
      <c r="H21" s="13">
        <f>IF(D21&lt;7,"Reorder now",IF(C21&gt;5000,"Supplier call","Monitor"))</f>
        <v/>
      </c>
      <c r="I21" s="11" t="n"/>
      <c r="J21" s="18" t="inlineStr">
        <is>
          <t>Part A</t>
        </is>
      </c>
      <c r="K21" s="19" t="n">
        <v>1200</v>
      </c>
      <c r="L21" s="20" t="n">
        <v>1</v>
      </c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</row>
    <row r="22" ht="21" customHeight="1" s="9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</row>
    <row r="23" ht="21" customHeight="1" s="9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</row>
    <row r="24" ht="21" customHeight="1" s="9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</row>
    <row r="25" ht="21" customHeight="1" s="9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</row>
    <row r="26" ht="21" customHeight="1" s="9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</row>
    <row r="27" ht="21" customHeight="1" s="9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</row>
    <row r="28" ht="21" customHeight="1" s="9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</row>
    <row r="29" ht="21" customHeight="1" s="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</row>
    <row r="30" ht="21" customHeight="1" s="9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</row>
    <row r="31" ht="21" customHeight="1" s="9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</row>
    <row r="32" ht="21" customHeight="1" s="9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</row>
    <row r="33" ht="21" customHeight="1" s="9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</row>
    <row r="34" ht="21" customHeight="1" s="9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</row>
    <row r="35" ht="21" customHeight="1" s="9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</row>
    <row r="36" ht="21" customHeight="1" s="9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</row>
    <row r="37" ht="21" customHeight="1" s="9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</row>
    <row r="38" ht="21" customHeight="1" s="9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</row>
    <row r="39" ht="21" customHeight="1" s="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</row>
    <row r="40" ht="21" customHeight="1" s="9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</row>
    <row r="41" ht="21" customHeight="1" s="9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</row>
    <row r="42" ht="21" customHeight="1" s="9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</row>
    <row r="43" ht="21" customHeight="1" s="9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</row>
    <row r="44" ht="21" customHeight="1" s="9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</row>
    <row r="45" ht="21" customHeight="1" s="9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</row>
    <row r="46" ht="21" customHeight="1" s="9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</row>
    <row r="47" ht="21" customHeight="1" s="9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</row>
    <row r="48" ht="21" customHeight="1" s="9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</row>
    <row r="49" ht="21" customHeight="1" s="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</row>
    <row r="50" ht="21" customHeight="1" s="9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</row>
    <row r="51" ht="21" customHeight="1" s="9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</row>
    <row r="52" ht="21" customHeight="1" s="9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</row>
    <row r="53" ht="21" customHeight="1" s="9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</row>
    <row r="54" ht="21" customHeight="1" s="9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</row>
    <row r="55" ht="21" customHeight="1" s="9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</row>
    <row r="56" ht="21" customHeight="1" s="9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</row>
    <row r="57" ht="21" customHeight="1" s="9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</row>
    <row r="58" ht="21" customHeight="1" s="9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</row>
    <row r="59" ht="21" customHeight="1" s="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</row>
    <row r="60" ht="21" customHeight="1" s="9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</row>
    <row r="61" ht="21" customHeight="1" s="9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</row>
    <row r="62" ht="21" customHeight="1" s="9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</row>
    <row r="63" ht="21" customHeight="1" s="9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</row>
    <row r="64" ht="21" customHeight="1" s="9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</row>
    <row r="65" ht="21" customHeight="1" s="9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</row>
    <row r="66" ht="21" customHeight="1" s="9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</row>
    <row r="67" ht="21" customHeight="1" s="9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</row>
    <row r="68" ht="21" customHeight="1" s="9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</row>
    <row r="69" ht="21" customHeight="1" s="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</row>
    <row r="70" ht="21" customHeight="1" s="9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</row>
  </sheetData>
  <autoFilter ref="A3:H21"/>
  <mergeCells count="1">
    <mergeCell ref="A1:H1"/>
  </mergeCells>
  <conditionalFormatting sqref="D4:D21">
    <cfRule type="iconSet" priority="2">
      <iconSet iconSet="3TrafficLights1">
        <cfvo type="num" val="0"/>
        <cfvo type="num" val="7"/>
        <cfvo type="num" val="14"/>
      </iconSet>
    </cfRule>
  </conditionalFormatting>
  <dataValidations count="2">
    <dataValidation sqref="G4:G60" showDropDown="0" showInputMessage="0" showErrorMessage="0" allowBlank="0" type="list" errorStyle="stop" operator="between">
      <formula1>"Open,Ordered,Hold,Closed"</formula1>
      <formula2>0</formula2>
    </dataValidation>
    <dataValidation sqref="F4:F60" showDropDown="0" showInputMessage="0" showErrorMessage="0" allowBlank="0" type="list" errorStyle="stop" operator="between">
      <formula1>"Ari,Bea,Cam,Dev"</formula1>
      <formula2>0</formula2>
    </dataValidation>
  </dataValidations>
  <printOptions horizontalCentered="0" verticalCentered="0" headings="0" gridLines="0" gridLinesSet="1"/>
  <pageMargins left="0.2" right="0.2" top="0.25" bottom="0.25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filterMode="0">
    <tabColor rgb="FF243B53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8" min="1" max="31"/>
  </cols>
  <sheetData>
    <row r="1" ht="21" customHeight="1" s="9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 ht="21" customHeight="1" s="9">
      <c r="A2" s="12" t="inlineStr">
        <is>
          <t>SKU</t>
        </is>
      </c>
      <c r="B2" s="12" t="inlineStr">
        <is>
          <t>On Hand</t>
        </is>
      </c>
      <c r="C2" s="12" t="inlineStr">
        <is>
          <t>Demand / Day</t>
        </is>
      </c>
      <c r="D2" s="12" t="inlineStr">
        <is>
          <t>Lead Time Days</t>
        </is>
      </c>
      <c r="E2" s="12" t="inlineStr">
        <is>
          <t>Reorder Point</t>
        </is>
      </c>
      <c r="F2" s="12" t="inlineStr">
        <is>
          <t>Reorder Qty</t>
        </is>
      </c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 ht="21" customHeight="1" s="9">
      <c r="A3" s="17" t="inlineStr">
        <is>
          <t>FG-2100</t>
        </is>
      </c>
      <c r="B3" s="17" t="n">
        <v>20</v>
      </c>
      <c r="C3" s="17" t="n">
        <v>4</v>
      </c>
      <c r="D3" s="17" t="n">
        <v>7</v>
      </c>
      <c r="E3" s="17">
        <f>C3*D3</f>
        <v/>
      </c>
      <c r="F3" s="17">
        <f>MAX(0,E3-B3)</f>
        <v/>
      </c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 ht="21" customHeight="1" s="9">
      <c r="A4" s="17" t="inlineStr">
        <is>
          <t>FG-2101</t>
        </is>
      </c>
      <c r="B4" s="17" t="n">
        <v>23</v>
      </c>
      <c r="C4" s="17" t="n">
        <v>5</v>
      </c>
      <c r="D4" s="17" t="n">
        <v>8</v>
      </c>
      <c r="E4" s="17">
        <f>C4*D4</f>
        <v/>
      </c>
      <c r="F4" s="17">
        <f>MAX(0,E4-B4)</f>
        <v/>
      </c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 ht="21" customHeight="1" s="9">
      <c r="A5" s="17" t="inlineStr">
        <is>
          <t>FG-2102</t>
        </is>
      </c>
      <c r="B5" s="17" t="n">
        <v>26</v>
      </c>
      <c r="C5" s="17" t="n">
        <v>6</v>
      </c>
      <c r="D5" s="17" t="n">
        <v>9</v>
      </c>
      <c r="E5" s="17">
        <f>C5*D5</f>
        <v/>
      </c>
      <c r="F5" s="17">
        <f>MAX(0,E5-B5)</f>
        <v/>
      </c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</row>
    <row r="6" ht="21" customHeight="1" s="9">
      <c r="A6" s="17" t="inlineStr">
        <is>
          <t>FG-2103</t>
        </is>
      </c>
      <c r="B6" s="17" t="n">
        <v>29</v>
      </c>
      <c r="C6" s="17" t="n">
        <v>7</v>
      </c>
      <c r="D6" s="17" t="n">
        <v>10</v>
      </c>
      <c r="E6" s="17">
        <f>C6*D6</f>
        <v/>
      </c>
      <c r="F6" s="17">
        <f>MAX(0,E6-B6)</f>
        <v/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</row>
    <row r="7" ht="21" customHeight="1" s="9">
      <c r="A7" s="17" t="inlineStr">
        <is>
          <t>FG-2104</t>
        </is>
      </c>
      <c r="B7" s="17" t="n">
        <v>32</v>
      </c>
      <c r="C7" s="17" t="n">
        <v>8</v>
      </c>
      <c r="D7" s="17" t="n">
        <v>7</v>
      </c>
      <c r="E7" s="17">
        <f>C7*D7</f>
        <v/>
      </c>
      <c r="F7" s="17">
        <f>MAX(0,E7-B7)</f>
        <v/>
      </c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</row>
    <row r="8" ht="21" customHeight="1" s="9">
      <c r="A8" s="17" t="inlineStr">
        <is>
          <t>FG-2105</t>
        </is>
      </c>
      <c r="B8" s="17" t="n">
        <v>35</v>
      </c>
      <c r="C8" s="17" t="n">
        <v>9</v>
      </c>
      <c r="D8" s="17" t="n">
        <v>8</v>
      </c>
      <c r="E8" s="17">
        <f>C8*D8</f>
        <v/>
      </c>
      <c r="F8" s="17">
        <f>MAX(0,E8-B8)</f>
        <v/>
      </c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</row>
    <row r="9" ht="21" customHeight="1" s="9">
      <c r="A9" s="17" t="inlineStr">
        <is>
          <t>FG-2106</t>
        </is>
      </c>
      <c r="B9" s="17" t="n">
        <v>38</v>
      </c>
      <c r="C9" s="17" t="n">
        <v>4</v>
      </c>
      <c r="D9" s="17" t="n">
        <v>9</v>
      </c>
      <c r="E9" s="17">
        <f>C9*D9</f>
        <v/>
      </c>
      <c r="F9" s="17">
        <f>MAX(0,E9-B9)</f>
        <v/>
      </c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</row>
    <row r="10" ht="21" customHeight="1" s="9">
      <c r="A10" s="17" t="inlineStr">
        <is>
          <t>FG-2107</t>
        </is>
      </c>
      <c r="B10" s="17" t="n">
        <v>41</v>
      </c>
      <c r="C10" s="17" t="n">
        <v>5</v>
      </c>
      <c r="D10" s="17" t="n">
        <v>10</v>
      </c>
      <c r="E10" s="17">
        <f>C10*D10</f>
        <v/>
      </c>
      <c r="F10" s="17">
        <f>MAX(0,E10-B10)</f>
        <v/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</row>
    <row r="11" ht="21" customHeight="1" s="9">
      <c r="A11" s="17" t="inlineStr">
        <is>
          <t>FG-2108</t>
        </is>
      </c>
      <c r="B11" s="17" t="n">
        <v>44</v>
      </c>
      <c r="C11" s="17" t="n">
        <v>6</v>
      </c>
      <c r="D11" s="17" t="n">
        <v>7</v>
      </c>
      <c r="E11" s="17">
        <f>C11*D11</f>
        <v/>
      </c>
      <c r="F11" s="17">
        <f>MAX(0,E11-B11)</f>
        <v/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</row>
    <row r="12" ht="21" customHeight="1" s="9">
      <c r="A12" s="17" t="inlineStr">
        <is>
          <t>FG-2109</t>
        </is>
      </c>
      <c r="B12" s="17" t="n">
        <v>47</v>
      </c>
      <c r="C12" s="17" t="n">
        <v>7</v>
      </c>
      <c r="D12" s="17" t="n">
        <v>8</v>
      </c>
      <c r="E12" s="17">
        <f>C12*D12</f>
        <v/>
      </c>
      <c r="F12" s="17">
        <f>MAX(0,E12-B12)</f>
        <v/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</row>
    <row r="13" ht="21" customHeight="1" s="9">
      <c r="A13" s="17" t="inlineStr">
        <is>
          <t>FG-2110</t>
        </is>
      </c>
      <c r="B13" s="17" t="n">
        <v>50</v>
      </c>
      <c r="C13" s="17" t="n">
        <v>8</v>
      </c>
      <c r="D13" s="17" t="n">
        <v>9</v>
      </c>
      <c r="E13" s="17">
        <f>C13*D13</f>
        <v/>
      </c>
      <c r="F13" s="17">
        <f>MAX(0,E13-B13)</f>
        <v/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</row>
    <row r="14" ht="21" customHeight="1" s="9">
      <c r="A14" s="17" t="inlineStr">
        <is>
          <t>FG-2111</t>
        </is>
      </c>
      <c r="B14" s="17" t="n">
        <v>53</v>
      </c>
      <c r="C14" s="17" t="n">
        <v>9</v>
      </c>
      <c r="D14" s="17" t="n">
        <v>10</v>
      </c>
      <c r="E14" s="17">
        <f>C14*D14</f>
        <v/>
      </c>
      <c r="F14" s="17">
        <f>MAX(0,E14-B14)</f>
        <v/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</row>
    <row r="15" ht="21" customHeight="1" s="9">
      <c r="A15" s="17" t="inlineStr">
        <is>
          <t>FG-2112</t>
        </is>
      </c>
      <c r="B15" s="17" t="n">
        <v>56</v>
      </c>
      <c r="C15" s="17" t="n">
        <v>4</v>
      </c>
      <c r="D15" s="17" t="n">
        <v>7</v>
      </c>
      <c r="E15" s="17">
        <f>C15*D15</f>
        <v/>
      </c>
      <c r="F15" s="17">
        <f>MAX(0,E15-B15)</f>
        <v/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 ht="21" customHeight="1" s="9">
      <c r="A16" s="17" t="inlineStr">
        <is>
          <t>FG-2113</t>
        </is>
      </c>
      <c r="B16" s="17" t="n">
        <v>59</v>
      </c>
      <c r="C16" s="17" t="n">
        <v>5</v>
      </c>
      <c r="D16" s="17" t="n">
        <v>8</v>
      </c>
      <c r="E16" s="17">
        <f>C16*D16</f>
        <v/>
      </c>
      <c r="F16" s="17">
        <f>MAX(0,E16-B16)</f>
        <v/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</row>
    <row r="17" ht="21" customHeight="1" s="9">
      <c r="A17" s="17" t="inlineStr">
        <is>
          <t>FG-2114</t>
        </is>
      </c>
      <c r="B17" s="17" t="n">
        <v>62</v>
      </c>
      <c r="C17" s="17" t="n">
        <v>6</v>
      </c>
      <c r="D17" s="17" t="n">
        <v>9</v>
      </c>
      <c r="E17" s="17">
        <f>C17*D17</f>
        <v/>
      </c>
      <c r="F17" s="17">
        <f>MAX(0,E17-B17)</f>
        <v/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</row>
    <row r="18" ht="21" customHeight="1" s="9">
      <c r="A18" s="17" t="inlineStr">
        <is>
          <t>FG-2115</t>
        </is>
      </c>
      <c r="B18" s="17" t="n">
        <v>65</v>
      </c>
      <c r="C18" s="17" t="n">
        <v>7</v>
      </c>
      <c r="D18" s="17" t="n">
        <v>10</v>
      </c>
      <c r="E18" s="17">
        <f>C18*D18</f>
        <v/>
      </c>
      <c r="F18" s="17">
        <f>MAX(0,E18-B18)</f>
        <v/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</row>
    <row r="19" ht="21" customHeight="1" s="9">
      <c r="A19" s="17" t="inlineStr">
        <is>
          <t>FG-2116</t>
        </is>
      </c>
      <c r="B19" s="17" t="n">
        <v>68</v>
      </c>
      <c r="C19" s="17" t="n">
        <v>8</v>
      </c>
      <c r="D19" s="17" t="n">
        <v>7</v>
      </c>
      <c r="E19" s="17">
        <f>C19*D19</f>
        <v/>
      </c>
      <c r="F19" s="17">
        <f>MAX(0,E19-B19)</f>
        <v/>
      </c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</row>
    <row r="20" ht="21" customHeight="1" s="9">
      <c r="A20" s="17" t="inlineStr">
        <is>
          <t>FG-2117</t>
        </is>
      </c>
      <c r="B20" s="17" t="n">
        <v>71</v>
      </c>
      <c r="C20" s="17" t="n">
        <v>9</v>
      </c>
      <c r="D20" s="17" t="n">
        <v>8</v>
      </c>
      <c r="E20" s="17">
        <f>C20*D20</f>
        <v/>
      </c>
      <c r="F20" s="17">
        <f>MAX(0,E20-B20)</f>
        <v/>
      </c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</row>
    <row r="21" ht="21" customHeight="1" s="9">
      <c r="A21" s="17" t="inlineStr">
        <is>
          <t>FG-2118</t>
        </is>
      </c>
      <c r="B21" s="17" t="n">
        <v>74</v>
      </c>
      <c r="C21" s="17" t="n">
        <v>4</v>
      </c>
      <c r="D21" s="17" t="n">
        <v>9</v>
      </c>
      <c r="E21" s="17">
        <f>C21*D21</f>
        <v/>
      </c>
      <c r="F21" s="17">
        <f>MAX(0,E21-B21)</f>
        <v/>
      </c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</row>
    <row r="22" ht="21" customHeight="1" s="9">
      <c r="A22" s="17" t="inlineStr">
        <is>
          <t>FG-2119</t>
        </is>
      </c>
      <c r="B22" s="17" t="n">
        <v>77</v>
      </c>
      <c r="C22" s="17" t="n">
        <v>5</v>
      </c>
      <c r="D22" s="17" t="n">
        <v>10</v>
      </c>
      <c r="E22" s="17">
        <f>C22*D22</f>
        <v/>
      </c>
      <c r="F22" s="17">
        <f>MAX(0,E22-B22)</f>
        <v/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 ht="21" customHeight="1" s="9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 ht="21" customHeight="1" s="9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 ht="21" customHeight="1" s="9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 ht="21" customHeight="1" s="9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 ht="21" customHeight="1" s="9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 ht="21" customHeight="1" s="9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 ht="21" customHeight="1" s="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 ht="21" customHeight="1" s="9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 ht="21" customHeight="1" s="9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 ht="21" customHeight="1" s="9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 ht="21" customHeight="1" s="9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 ht="21" customHeight="1" s="9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 ht="21" customHeight="1" s="9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 ht="21" customHeight="1" s="9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 ht="21" customHeight="1" s="9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 ht="21" customHeight="1" s="9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 ht="21" customHeight="1" s="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 ht="21" customHeight="1" s="9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 ht="21" customHeight="1" s="9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 ht="21" customHeight="1" s="9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 ht="21" customHeight="1" s="9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 ht="21" customHeight="1" s="9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 ht="21" customHeight="1" s="9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 ht="21" customHeight="1" s="9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 ht="21" customHeight="1" s="9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 ht="21" customHeight="1" s="9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 ht="21" customHeight="1" s="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 ht="21" customHeight="1" s="9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 ht="21" customHeight="1" s="9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 ht="21" customHeight="1" s="9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 ht="21" customHeight="1" s="9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 ht="21" customHeight="1" s="9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 ht="21" customHeight="1" s="9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 ht="21" customHeight="1" s="9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 ht="21" customHeight="1" s="9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 ht="21" customHeight="1" s="9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 ht="21" customHeight="1" s="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 ht="21" customHeight="1" s="9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 ht="21" customHeight="1" s="9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 ht="21" customHeight="1" s="9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 ht="21" customHeight="1" s="9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 ht="21" customHeight="1" s="9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 ht="21" customHeight="1" s="9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 ht="21" customHeight="1" s="9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 ht="21" customHeight="1" s="9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 ht="21" customHeight="1" s="9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 ht="21" customHeight="1" s="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 ht="21" customHeight="1" s="9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</sheetData>
  <autoFilter ref="A2:F22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tabColor rgb="FFF47C20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8" min="1" max="31"/>
  </cols>
  <sheetData>
    <row r="1" ht="21" customHeight="1" s="9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 ht="21" customHeight="1" s="9">
      <c r="A2" s="12" t="inlineStr">
        <is>
          <t>Supplier</t>
        </is>
      </c>
      <c r="B2" s="12" t="inlineStr">
        <is>
          <t>Category</t>
        </is>
      </c>
      <c r="C2" s="12" t="inlineStr">
        <is>
          <t>Lead Time Days</t>
        </is>
      </c>
      <c r="D2" s="12" t="inlineStr">
        <is>
          <t>Reliability</t>
        </is>
      </c>
      <c r="E2" s="12" t="inlineStr">
        <is>
          <t>Contact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</row>
    <row r="3" ht="21" customHeight="1" s="9">
      <c r="A3" s="17" t="inlineStr">
        <is>
          <t>North Bay Metals</t>
        </is>
      </c>
      <c r="B3" s="17" t="inlineStr">
        <is>
          <t>Hardware</t>
        </is>
      </c>
      <c r="C3" s="17" t="n">
        <v>9</v>
      </c>
      <c r="D3" s="17" t="n">
        <v>0.92</v>
      </c>
      <c r="E3" s="17" t="inlineStr">
        <is>
          <t>Lina</t>
        </is>
      </c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 ht="21" customHeight="1" s="9">
      <c r="A4" s="17" t="inlineStr">
        <is>
          <t>Orange Line Pack</t>
        </is>
      </c>
      <c r="B4" s="17" t="inlineStr">
        <is>
          <t>Packaging</t>
        </is>
      </c>
      <c r="C4" s="17" t="n">
        <v>6</v>
      </c>
      <c r="D4" s="17" t="n">
        <v>0.88</v>
      </c>
      <c r="E4" s="17" t="inlineStr">
        <is>
          <t>Owen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 ht="21" customHeight="1" s="9">
      <c r="A5" s="17" t="inlineStr">
        <is>
          <t>Cobalt Components</t>
        </is>
      </c>
      <c r="B5" s="17" t="inlineStr">
        <is>
          <t>Electronics</t>
        </is>
      </c>
      <c r="C5" s="17" t="n">
        <v>14</v>
      </c>
      <c r="D5" s="17" t="n">
        <v>0.8100000000000001</v>
      </c>
      <c r="E5" s="17" t="inlineStr">
        <is>
          <t>Mika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</row>
    <row r="6" ht="21" customHeight="1" s="9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</row>
    <row r="7" ht="21" customHeight="1" s="9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</row>
    <row r="8" ht="21" customHeight="1" s="9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</row>
    <row r="9" ht="21" customHeight="1" s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</row>
    <row r="10" ht="21" customHeight="1" s="9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</row>
    <row r="11" ht="21" customHeight="1" s="9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</row>
    <row r="12" ht="21" customHeight="1" s="9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</row>
    <row r="13" ht="21" customHeight="1" s="9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</row>
    <row r="14" ht="21" customHeight="1" s="9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</row>
    <row r="15" ht="21" customHeight="1" s="9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 ht="21" customHeight="1" s="9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</row>
    <row r="17" ht="21" customHeight="1" s="9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</row>
    <row r="18" ht="21" customHeight="1" s="9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</row>
    <row r="19" ht="21" customHeight="1" s="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</row>
    <row r="20" ht="21" customHeight="1" s="9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</row>
    <row r="21" ht="21" customHeight="1" s="9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</row>
    <row r="22" ht="21" customHeight="1" s="9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 ht="21" customHeight="1" s="9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 ht="21" customHeight="1" s="9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 ht="21" customHeight="1" s="9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 ht="21" customHeight="1" s="9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 ht="21" customHeight="1" s="9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 ht="21" customHeight="1" s="9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 ht="21" customHeight="1" s="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 ht="21" customHeight="1" s="9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 ht="21" customHeight="1" s="9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 ht="21" customHeight="1" s="9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 ht="21" customHeight="1" s="9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 ht="21" customHeight="1" s="9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 ht="21" customHeight="1" s="9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 ht="21" customHeight="1" s="9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 ht="21" customHeight="1" s="9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 ht="21" customHeight="1" s="9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 ht="21" customHeight="1" s="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 ht="21" customHeight="1" s="9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 ht="21" customHeight="1" s="9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 ht="21" customHeight="1" s="9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 ht="21" customHeight="1" s="9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 ht="21" customHeight="1" s="9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 ht="21" customHeight="1" s="9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 ht="21" customHeight="1" s="9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 ht="21" customHeight="1" s="9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 ht="21" customHeight="1" s="9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 ht="21" customHeight="1" s="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 ht="21" customHeight="1" s="9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 ht="21" customHeight="1" s="9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 ht="21" customHeight="1" s="9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 ht="21" customHeight="1" s="9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 ht="21" customHeight="1" s="9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 ht="21" customHeight="1" s="9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 ht="21" customHeight="1" s="9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 ht="21" customHeight="1" s="9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 ht="21" customHeight="1" s="9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 ht="21" customHeight="1" s="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 ht="21" customHeight="1" s="9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 ht="21" customHeight="1" s="9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 ht="21" customHeight="1" s="9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 ht="21" customHeight="1" s="9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 ht="21" customHeight="1" s="9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 ht="21" customHeight="1" s="9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 ht="21" customHeight="1" s="9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 ht="21" customHeight="1" s="9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 ht="21" customHeight="1" s="9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 ht="21" customHeight="1" s="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 ht="21" customHeight="1" s="9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</sheetData>
  <autoFilter ref="A2:E5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2026-08-10T09:58:22Z</dcterms:created>
  <dcterms:modified xsi:type="dcterms:W3CDTF">2026-08-10T10:41:49Z</dcterms:modified>
  <cp:revision>2</cp:revision>
</cp:coreProperties>
</file>