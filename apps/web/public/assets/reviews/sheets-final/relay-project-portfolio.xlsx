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15a2d8eea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2361a3baea2f4901"/>
    <x:sheet xmlns:r="http://schemas.openxmlformats.org/officeDocument/2006/relationships" name="Portfolio Map" sheetId="2" r:id="Rf2e7baeca27f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%"/>
    <x:numFmt numFmtId="202" formatCode="mmm d"/>
    <x:numFmt numFmtId="203" formatCode="#,##0"/>
  </x:numFmts>
  <x:fonts count="22">
    <x:font>
      <x:sz val="11"/>
      <x:name val="Carlito"/>
    </x:font>
    <x:font>
      <x:b/>
      <x:sz val="20"/>
      <x:color rgb="FFFFFFFF"/>
      <x:name val="Carlito"/>
    </x:font>
    <x:font>
      <x:i/>
      <x:sz val="9"/>
      <x:color rgb="FF765220"/>
      <x:name val="Carlito"/>
    </x:font>
    <x:font>
      <x:b/>
      <x:sz val="9"/>
      <x:color rgb="FFFFFFFF"/>
      <x:name val="Carlito"/>
    </x:font>
    <x:font>
      <x:b/>
      <x:sz val="11"/>
      <x:color rgb="FF765220"/>
      <x:name val="Carlito"/>
    </x:font>
    <x:font>
      <x:sz val="9"/>
      <x:color rgb="FF1F2933"/>
      <x:name val="Arial"/>
    </x:font>
    <x:font>
      <x:b/>
      <x:sz val="22"/>
      <x:color rgb="FFFFFFFF"/>
      <x:name val="Arial"/>
    </x:font>
    <x:font>
      <x:b/>
      <x:sz val="9"/>
      <x:color rgb="FFFFFFFF"/>
      <x:name val="Arial"/>
    </x:font>
    <x:font>
      <x:b/>
      <x:sz val="8"/>
      <x:color rgb="FFC68B3C"/>
      <x:name val="Arial"/>
    </x:font>
    <x:font>
      <x:b/>
      <x:sz val="20"/>
      <x:color rgb="FF1F2933"/>
      <x:name val="Arial"/>
    </x:font>
    <x:font>
      <x:b/>
      <x:sz val="8"/>
      <x:color rgb="FFD97A5F"/>
      <x:name val="Arial"/>
    </x:font>
    <x:font>
      <x:b/>
      <x:sz val="17"/>
      <x:color rgb="FF1F2933"/>
      <x:name val="Arial"/>
    </x:font>
    <x:font>
      <x:b/>
      <x:sz val="9"/>
      <x:color rgb="FF8F3D2B"/>
      <x:name val="Arial"/>
    </x:font>
    <x:font>
      <x:sz val="9"/>
      <x:color rgb="FF8F3D2B"/>
      <x:name val="Arial"/>
    </x:font>
    <x:font>
      <x:sz val="9"/>
      <x:color rgb="FF765220"/>
      <x:name val="Arial"/>
    </x:font>
    <x:font>
      <x:b/>
      <x:sz val="9"/>
      <x:color rgb="FF765220"/>
      <x:name val="Arial"/>
    </x:font>
    <x:font>
      <x:sz val="9"/>
      <x:color rgb="FF436B65"/>
      <x:name val="Arial"/>
    </x:font>
    <x:font>
      <x:b/>
      <x:sz val="9"/>
      <x:color rgb="FF436B65"/>
      <x:name val="Arial"/>
    </x:font>
    <x:font>
      <x:sz val="9"/>
      <x:color rgb="FF557FA3"/>
      <x:name val="Arial"/>
    </x:font>
    <x:font>
      <x:b/>
      <x:sz val="9"/>
      <x:color rgb="FF557FA3"/>
      <x:name val="Arial"/>
    </x:font>
    <x:font>
      <x:b/>
      <x:sz val="8"/>
      <x:color rgb="FFFFFFFF"/>
      <x:name val="Arial"/>
    </x:font>
    <x:font>
      <x:sz val="8"/>
      <x:color rgb="FF1F2933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29323D"/>
      </x:patternFill>
    </x:fill>
    <x:fill>
      <x:patternFill patternType="solid">
        <x:fgColor rgb="FFF8F0DF"/>
      </x:patternFill>
    </x:fill>
    <x:fill>
      <x:patternFill patternType="solid">
        <x:fgColor rgb="FFC68B3C"/>
      </x:patternFill>
    </x:fill>
    <x:fill>
      <x:patternFill patternType="solid">
        <x:fgColor rgb="FFF3F7FB"/>
      </x:patternFill>
    </x:fill>
    <x:fill>
      <x:patternFill patternType="solid">
        <x:fgColor rgb="FFF7F5F1"/>
      </x:patternFill>
    </x:fill>
    <x:fill>
      <x:patternFill patternType="solid">
        <x:fgColor rgb="FF1F2933"/>
      </x:patternFill>
    </x:fill>
    <x:fill>
      <x:patternFill patternType="solid">
        <x:fgColor rgb="FFFFFFFF"/>
      </x:patternFill>
    </x:fill>
    <x:fill>
      <x:patternFill patternType="solid">
        <x:fgColor rgb="FFF8E9E4"/>
      </x:patternFill>
    </x:fill>
    <x:fill>
      <x:patternFill patternType="solid">
        <x:fgColor rgb="FFEAF2F0"/>
      </x:patternFill>
    </x:fill>
    <x:fill>
      <x:patternFill patternType="solid">
        <x:fgColor rgb="FFE7EEF5"/>
      </x:patternFill>
    </x:fill>
  </x:fills>
  <x:borders count="16">
    <x:border/>
    <x:border>
      <x:left style="thin">
        <x:color rgb="FFE7E3DC"/>
      </x:left>
      <x:top style="thin">
        <x:color rgb="FFE7E3DC"/>
      </x:top>
    </x:border>
    <x:border>
      <x:top style="thin">
        <x:color rgb="FFE7E3DC"/>
      </x:top>
    </x:border>
    <x:border>
      <x:right style="thin">
        <x:color rgb="FFE7E3DC"/>
      </x:right>
      <x:top style="thin">
        <x:color rgb="FFE7E3DC"/>
      </x:top>
    </x:border>
    <x:border>
      <x:left style="thin">
        <x:color rgb="FFE7E3DC"/>
      </x:left>
      <x:bottom style="thin">
        <x:color rgb="FFE7E3DC"/>
      </x:bottom>
    </x:border>
    <x:border>
      <x:bottom style="thin">
        <x:color rgb="FFE7E3DC"/>
      </x:bottom>
    </x:border>
    <x:border>
      <x:right style="thin">
        <x:color rgb="FFE7E3DC"/>
      </x:right>
      <x:bottom style="thin">
        <x:color rgb="FFE7E3DC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top style="thin">
        <x:color rgb="FFE7E3DC"/>
      </x:top>
      <x:bottom style="thin">
        <x:color rgb="FFE7E3DC"/>
      </x:bottom>
    </x:border>
  </x:borders>
  <x:cellStyleXfs count="1">
    <x:xf numFmtId="0" fontId="0" fillId="0" borderId="0"/>
  </x:cellStyleXfs>
  <x:cellXfs count="1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0" fontId="9" fillId="8" borderId="4" xfId="0" applyNumberFormat="1" applyFont="1" applyFill="1" applyBorder="1" applyAlignment="1">
      <x:alignment vertical="center"/>
    </x:xf>
    <x:xf numFmtId="0" fontId="9" fillId="8" borderId="5" xfId="0" applyNumberFormat="1" applyFont="1" applyFill="1" applyBorder="1" applyAlignment="1">
      <x:alignment vertical="center"/>
    </x:xf>
    <x:xf numFmtId="0" fontId="9" fillId="8" borderId="6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vertical="center"/>
    </x:xf>
    <x:xf numFmtId="200" fontId="9" fillId="8" borderId="2" xfId="0" applyNumberFormat="1" applyFont="1" applyFill="1" applyBorder="1" applyAlignment="1">
      <x:alignment vertical="center"/>
    </x:xf>
    <x:xf numFmtId="200" fontId="9" fillId="8" borderId="3" xfId="0" applyNumberFormat="1" applyFont="1" applyFill="1" applyBorder="1" applyAlignment="1">
      <x:alignment vertical="center"/>
    </x:xf>
    <x:xf numFmtId="200" fontId="9" fillId="8" borderId="4" xfId="0" applyNumberFormat="1" applyFont="1" applyFill="1" applyBorder="1" applyAlignment="1">
      <x:alignment vertical="center"/>
    </x:xf>
    <x:xf numFmtId="200" fontId="9" fillId="8" borderId="5" xfId="0" applyNumberFormat="1" applyFont="1" applyFill="1" applyBorder="1" applyAlignment="1">
      <x:alignment vertical="center"/>
    </x:xf>
    <x:xf numFmtId="200" fontId="9" fillId="8" borderId="6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horizontal="center" vertical="center"/>
    </x:xf>
    <x:xf numFmtId="200" fontId="9" fillId="8" borderId="2" xfId="0" applyNumberFormat="1" applyFont="1" applyFill="1" applyBorder="1" applyAlignment="1">
      <x:alignment horizontal="center" vertical="center"/>
    </x:xf>
    <x:xf numFmtId="200" fontId="9" fillId="8" borderId="3" xfId="0" applyNumberFormat="1" applyFont="1" applyFill="1" applyBorder="1" applyAlignment="1">
      <x:alignment horizontal="center" vertical="center"/>
    </x:xf>
    <x:xf numFmtId="200" fontId="9" fillId="8" borderId="4" xfId="0" applyNumberFormat="1" applyFont="1" applyFill="1" applyBorder="1" applyAlignment="1">
      <x:alignment horizontal="center" vertical="center"/>
    </x:xf>
    <x:xf numFmtId="200" fontId="9" fillId="8" borderId="5" xfId="0" applyNumberFormat="1" applyFont="1" applyFill="1" applyBorder="1" applyAlignment="1">
      <x:alignment horizontal="center" vertical="center"/>
    </x:xf>
    <x:xf numFmtId="200" fontId="9" fillId="8" borderId="6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horizontal="center" vertical="center"/>
    </x:xf>
    <x:xf numFmtId="203" fontId="9" fillId="8" borderId="1" xfId="0" applyNumberFormat="1" applyFont="1" applyFill="1" applyBorder="1" applyAlignment="1">
      <x:alignment vertical="center"/>
    </x:xf>
    <x:xf numFmtId="203" fontId="9" fillId="8" borderId="2" xfId="0" applyNumberFormat="1" applyFont="1" applyFill="1" applyBorder="1" applyAlignment="1">
      <x:alignment vertical="center"/>
    </x:xf>
    <x:xf numFmtId="203" fontId="9" fillId="8" borderId="3" xfId="0" applyNumberFormat="1" applyFont="1" applyFill="1" applyBorder="1" applyAlignment="1">
      <x:alignment vertical="center"/>
    </x:xf>
    <x:xf numFmtId="203" fontId="9" fillId="8" borderId="4" xfId="0" applyNumberFormat="1" applyFont="1" applyFill="1" applyBorder="1" applyAlignment="1">
      <x:alignment vertical="center"/>
    </x:xf>
    <x:xf numFmtId="203" fontId="9" fillId="8" borderId="5" xfId="0" applyNumberFormat="1" applyFont="1" applyFill="1" applyBorder="1" applyAlignment="1">
      <x:alignment vertical="center"/>
    </x:xf>
    <x:xf numFmtId="203" fontId="9" fillId="8" borderId="6" xfId="0" applyNumberFormat="1" applyFont="1" applyFill="1" applyBorder="1" applyAlignment="1">
      <x:alignment vertical="center"/>
    </x:xf>
    <x:xf numFmtId="203" fontId="9" fillId="8" borderId="1" xfId="0" applyNumberFormat="1" applyFont="1" applyFill="1" applyBorder="1" applyAlignment="1">
      <x:alignment horizontal="center" vertical="center"/>
    </x:xf>
    <x:xf numFmtId="203" fontId="9" fillId="8" borderId="2" xfId="0" applyNumberFormat="1" applyFont="1" applyFill="1" applyBorder="1" applyAlignment="1">
      <x:alignment horizontal="center" vertical="center"/>
    </x:xf>
    <x:xf numFmtId="203" fontId="9" fillId="8" borderId="3" xfId="0" applyNumberFormat="1" applyFont="1" applyFill="1" applyBorder="1" applyAlignment="1">
      <x:alignment horizontal="center" vertical="center"/>
    </x:xf>
    <x:xf numFmtId="203" fontId="9" fillId="8" borderId="4" xfId="0" applyNumberFormat="1" applyFont="1" applyFill="1" applyBorder="1" applyAlignment="1">
      <x:alignment horizontal="center" vertical="center"/>
    </x:xf>
    <x:xf numFmtId="203" fontId="9" fillId="8" borderId="5" xfId="0" applyNumberFormat="1" applyFont="1" applyFill="1" applyBorder="1" applyAlignment="1">
      <x:alignment horizontal="center" vertical="center"/>
    </x:xf>
    <x:xf numFmtId="203" fontId="9" fillId="8" borderId="6" xfId="0" applyNumberFormat="1" applyFont="1" applyFill="1" applyBorder="1" applyAlignment="1">
      <x:alignment horizontal="center" vertical="center"/>
    </x:xf>
    <x:xf numFmtId="201" fontId="9" fillId="8" borderId="1" xfId="0" applyNumberFormat="1" applyFont="1" applyFill="1" applyBorder="1" applyAlignment="1">
      <x:alignment vertical="center"/>
    </x:xf>
    <x:xf numFmtId="201" fontId="9" fillId="8" borderId="2" xfId="0" applyNumberFormat="1" applyFont="1" applyFill="1" applyBorder="1" applyAlignment="1">
      <x:alignment vertical="center"/>
    </x:xf>
    <x:xf numFmtId="201" fontId="9" fillId="8" borderId="3" xfId="0" applyNumberFormat="1" applyFont="1" applyFill="1" applyBorder="1" applyAlignment="1">
      <x:alignment vertical="center"/>
    </x:xf>
    <x:xf numFmtId="201" fontId="9" fillId="8" borderId="4" xfId="0" applyNumberFormat="1" applyFont="1" applyFill="1" applyBorder="1" applyAlignment="1">
      <x:alignment vertical="center"/>
    </x:xf>
    <x:xf numFmtId="201" fontId="9" fillId="8" borderId="5" xfId="0" applyNumberFormat="1" applyFont="1" applyFill="1" applyBorder="1" applyAlignment="1">
      <x:alignment vertical="center"/>
    </x:xf>
    <x:xf numFmtId="201" fontId="9" fillId="8" borderId="6" xfId="0" applyNumberFormat="1" applyFont="1" applyFill="1" applyBorder="1" applyAlignment="1">
      <x:alignment vertical="center"/>
    </x:xf>
    <x:xf numFmtId="201" fontId="9" fillId="8" borderId="1" xfId="0" applyNumberFormat="1" applyFont="1" applyFill="1" applyBorder="1" applyAlignment="1">
      <x:alignment horizontal="center" vertical="center"/>
    </x:xf>
    <x:xf numFmtId="201" fontId="9" fillId="8" borderId="2" xfId="0" applyNumberFormat="1" applyFont="1" applyFill="1" applyBorder="1" applyAlignment="1">
      <x:alignment horizontal="center" vertical="center"/>
    </x:xf>
    <x:xf numFmtId="201" fontId="9" fillId="8" borderId="3" xfId="0" applyNumberFormat="1" applyFont="1" applyFill="1" applyBorder="1" applyAlignment="1">
      <x:alignment horizontal="center" vertical="center"/>
    </x:xf>
    <x:xf numFmtId="201" fontId="9" fillId="8" borderId="4" xfId="0" applyNumberFormat="1" applyFont="1" applyFill="1" applyBorder="1" applyAlignment="1">
      <x:alignment horizontal="center" vertical="center"/>
    </x:xf>
    <x:xf numFmtId="201" fontId="9" fillId="8" borderId="5" xfId="0" applyNumberFormat="1" applyFont="1" applyFill="1" applyBorder="1" applyAlignment="1">
      <x:alignment horizontal="center" vertical="center"/>
    </x:xf>
    <x:xf numFmtId="201" fontId="9" fillId="8" borderId="6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vertical="center"/>
    </x:xf>
    <x:xf numFmtId="0" fontId="11" fillId="8" borderId="3" xfId="0" applyNumberFormat="1" applyFont="1" applyFill="1" applyBorder="1" applyAlignment="1">
      <x:alignment vertical="center"/>
    </x:xf>
    <x:xf numFmtId="0" fontId="11" fillId="8" borderId="4" xfId="0" applyNumberFormat="1" applyFont="1" applyFill="1" applyBorder="1" applyAlignment="1">
      <x:alignment vertical="center"/>
    </x:xf>
    <x:xf numFmtId="0" fontId="11" fillId="8" borderId="5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vertical="center"/>
    </x:xf>
    <x:xf numFmtId="200" fontId="11" fillId="8" borderId="2" xfId="0" applyNumberFormat="1" applyFont="1" applyFill="1" applyBorder="1" applyAlignment="1">
      <x:alignment vertical="center"/>
    </x:xf>
    <x:xf numFmtId="200" fontId="11" fillId="8" borderId="3" xfId="0" applyNumberFormat="1" applyFont="1" applyFill="1" applyBorder="1" applyAlignment="1">
      <x:alignment vertical="center"/>
    </x:xf>
    <x:xf numFmtId="200" fontId="11" fillId="8" borderId="4" xfId="0" applyNumberFormat="1" applyFont="1" applyFill="1" applyBorder="1" applyAlignment="1">
      <x:alignment vertical="center"/>
    </x:xf>
    <x:xf numFmtId="200" fontId="11" fillId="8" borderId="5" xfId="0" applyNumberFormat="1" applyFont="1" applyFill="1" applyBorder="1" applyAlignment="1">
      <x:alignment vertical="center"/>
    </x:xf>
    <x:xf numFmtId="200" fontId="11" fillId="8" borderId="6" xfId="0" applyNumberFormat="1" applyFont="1" applyFill="1" applyBorder="1" applyAlignment="1">
      <x:alignment vertical="center"/>
    </x:xf>
    <x:xf numFmtId="200" fontId="11" fillId="8" borderId="1" xfId="0" applyNumberFormat="1" applyFont="1" applyFill="1" applyBorder="1" applyAlignment="1">
      <x:alignment horizontal="center" vertical="center"/>
    </x:xf>
    <x:xf numFmtId="200" fontId="11" fillId="8" borderId="2" xfId="0" applyNumberFormat="1" applyFont="1" applyFill="1" applyBorder="1" applyAlignment="1">
      <x:alignment horizontal="center" vertical="center"/>
    </x:xf>
    <x:xf numFmtId="200" fontId="11" fillId="8" borderId="3" xfId="0" applyNumberFormat="1" applyFont="1" applyFill="1" applyBorder="1" applyAlignment="1">
      <x:alignment horizontal="center" vertical="center"/>
    </x:xf>
    <x:xf numFmtId="200" fontId="11" fillId="8" borderId="4" xfId="0" applyNumberFormat="1" applyFont="1" applyFill="1" applyBorder="1" applyAlignment="1">
      <x:alignment horizontal="center" vertical="center"/>
    </x:xf>
    <x:xf numFmtId="200" fontId="11" fillId="8" borderId="5" xfId="0" applyNumberFormat="1" applyFont="1" applyFill="1" applyBorder="1" applyAlignment="1">
      <x:alignment horizontal="center" vertical="center"/>
    </x:xf>
    <x:xf numFmtId="200" fontId="11" fillId="8" borderId="6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vertical="center"/>
    </x:xf>
    <x:xf numFmtId="0" fontId="13" fillId="9" borderId="7" xfId="0" applyNumberFormat="1" applyFont="1" applyFill="1" applyBorder="1" applyAlignment="1">
      <x:alignment vertical="center"/>
    </x:xf>
    <x:xf numFmtId="0" fontId="13" fillId="9" borderId="8" xfId="0" applyNumberFormat="1" applyFont="1" applyFill="1" applyBorder="1" applyAlignment="1">
      <x:alignment vertical="center"/>
    </x:xf>
    <x:xf numFmtId="0" fontId="13" fillId="9" borderId="9" xfId="0" applyNumberFormat="1" applyFont="1" applyFill="1" applyBorder="1" applyAlignment="1">
      <x:alignment vertical="center"/>
    </x:xf>
    <x:xf numFmtId="0" fontId="13" fillId="9" borderId="10" xfId="0" applyNumberFormat="1" applyFont="1" applyFill="1" applyBorder="1" applyAlignment="1">
      <x:alignment vertical="center"/>
    </x:xf>
    <x:xf numFmtId="0" fontId="13" fillId="9" borderId="11" xfId="0" applyNumberFormat="1" applyFont="1" applyFill="1" applyBorder="1" applyAlignment="1">
      <x:alignment vertical="center"/>
    </x:xf>
    <x:xf numFmtId="0" fontId="13" fillId="9" borderId="12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13" fillId="9" borderId="14" xfId="0" applyNumberFormat="1" applyFont="1" applyFill="1" applyBorder="1" applyAlignment="1">
      <x:alignment vertical="center"/>
    </x:xf>
    <x:xf numFmtId="0" fontId="12" fillId="9" borderId="7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 applyAlignment="1">
      <x:alignment vertical="center"/>
    </x:xf>
    <x:xf numFmtId="0" fontId="14" fillId="3" borderId="7" xfId="0" applyNumberFormat="1" applyFont="1" applyFill="1" applyBorder="1" applyAlignment="1">
      <x:alignment vertical="center"/>
    </x:xf>
    <x:xf numFmtId="0" fontId="14" fillId="3" borderId="8" xfId="0" applyNumberFormat="1" applyFont="1" applyFill="1" applyBorder="1" applyAlignment="1">
      <x:alignment vertical="center"/>
    </x:xf>
    <x:xf numFmtId="0" fontId="14" fillId="3" borderId="9" xfId="0" applyNumberFormat="1" applyFont="1" applyFill="1" applyBorder="1" applyAlignment="1">
      <x:alignment vertical="center"/>
    </x:xf>
    <x:xf numFmtId="0" fontId="14" fillId="3" borderId="10" xfId="0" applyNumberFormat="1" applyFont="1" applyFill="1" applyBorder="1" applyAlignment="1">
      <x:alignment vertical="center"/>
    </x:xf>
    <x:xf numFmtId="0" fontId="14" fillId="3" borderId="11" xfId="0" applyNumberFormat="1" applyFont="1" applyFill="1" applyBorder="1" applyAlignment="1">
      <x:alignment vertical="center"/>
    </x:xf>
    <x:xf numFmtId="0" fontId="14" fillId="3" borderId="12" xfId="0" applyNumberFormat="1" applyFont="1" applyFill="1" applyBorder="1" applyAlignment="1">
      <x:alignment vertical="center"/>
    </x:xf>
    <x:xf numFmtId="0" fontId="14" fillId="3" borderId="13" xfId="0" applyNumberFormat="1" applyFont="1" applyFill="1" applyBorder="1" applyAlignment="1">
      <x:alignment vertical="center"/>
    </x:xf>
    <x:xf numFmtId="0" fontId="14" fillId="3" borderId="14" xfId="0" applyNumberFormat="1" applyFont="1" applyFill="1" applyBorder="1" applyAlignment="1">
      <x:alignment vertical="center"/>
    </x:xf>
    <x:xf numFmtId="0" fontId="15" fillId="3" borderId="7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16" fillId="10" borderId="0" xfId="0" applyNumberFormat="1" applyFont="1" applyFill="1" applyBorder="1" applyAlignment="1">
      <x:alignment vertical="center"/>
    </x:xf>
    <x:xf numFmtId="0" fontId="16" fillId="10" borderId="7" xfId="0" applyNumberFormat="1" applyFont="1" applyFill="1" applyBorder="1" applyAlignment="1">
      <x:alignment vertical="center"/>
    </x:xf>
    <x:xf numFmtId="0" fontId="16" fillId="10" borderId="8" xfId="0" applyNumberFormat="1" applyFont="1" applyFill="1" applyBorder="1" applyAlignment="1">
      <x:alignment vertical="center"/>
    </x:xf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6" fillId="10" borderId="13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7" fillId="10" borderId="7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/>
    </x:xf>
    <x:xf numFmtId="0" fontId="18" fillId="11" borderId="0" xfId="0" applyNumberFormat="1" applyFont="1" applyFill="1" applyBorder="1" applyAlignment="1">
      <x:alignment vertical="center"/>
    </x:xf>
    <x:xf numFmtId="0" fontId="18" fillId="11" borderId="7" xfId="0" applyNumberFormat="1" applyFont="1" applyFill="1" applyBorder="1" applyAlignment="1">
      <x:alignment vertical="center"/>
    </x:xf>
    <x:xf numFmtId="0" fontId="18" fillId="11" borderId="8" xfId="0" applyNumberFormat="1" applyFont="1" applyFill="1" applyBorder="1" applyAlignment="1">
      <x:alignment vertical="center"/>
    </x:xf>
    <x:xf numFmtId="0" fontId="18" fillId="11" borderId="9" xfId="0" applyNumberFormat="1" applyFont="1" applyFill="1" applyBorder="1" applyAlignment="1">
      <x:alignment vertical="center"/>
    </x:xf>
    <x:xf numFmtId="0" fontId="18" fillId="11" borderId="10" xfId="0" applyNumberFormat="1" applyFont="1" applyFill="1" applyBorder="1" applyAlignment="1">
      <x:alignment vertical="center"/>
    </x:xf>
    <x:xf numFmtId="0" fontId="18" fillId="11" borderId="11" xfId="0" applyNumberFormat="1" applyFont="1" applyFill="1" applyBorder="1" applyAlignment="1">
      <x:alignment vertical="center"/>
    </x:xf>
    <x:xf numFmtId="0" fontId="18" fillId="11" borderId="12" xfId="0" applyNumberFormat="1" applyFont="1" applyFill="1" applyBorder="1" applyAlignment="1">
      <x:alignment vertical="center"/>
    </x:xf>
    <x:xf numFmtId="0" fontId="18" fillId="11" borderId="13" xfId="0" applyNumberFormat="1" applyFont="1" applyFill="1" applyBorder="1" applyAlignment="1">
      <x:alignment vertical="center"/>
    </x:xf>
    <x:xf numFmtId="0" fontId="18" fillId="11" borderId="14" xfId="0" applyNumberFormat="1" applyFont="1" applyFill="1" applyBorder="1" applyAlignment="1">
      <x:alignment vertical="center"/>
    </x:xf>
    <x:xf numFmtId="0" fontId="19" fillId="11" borderId="7" xfId="0" applyNumberFormat="1" applyFont="1" applyFill="1" applyBorder="1" applyAlignment="1">
      <x:alignment vertical="center"/>
    </x:xf>
    <x:xf numFmtId="0" fontId="20" fillId="4" borderId="0" xfId="0" applyNumberFormat="1" applyFont="1" applyFill="1" applyBorder="1" applyAlignment="1">
      <x:alignment vertical="center"/>
    </x:xf>
    <x:xf numFmtId="0" fontId="21" fillId="8" borderId="0" xfId="0" applyNumberFormat="1" applyFont="1" applyFill="1" applyBorder="1" applyAlignment="1">
      <x:alignment vertical="center"/>
    </x:xf>
    <x:xf numFmtId="0" fontId="21" fillId="8" borderId="5" xfId="0" applyNumberFormat="1" applyFont="1" applyFill="1" applyBorder="1" applyAlignment="1">
      <x:alignment vertical="center"/>
    </x:xf>
    <x:xf numFmtId="0" fontId="21" fillId="8" borderId="15" xfId="0" applyNumberFormat="1" applyFont="1" applyFill="1" applyBorder="1" applyAlignment="1">
      <x:alignment vertical="center"/>
    </x:xf>
    <x:xf numFmtId="0" fontId="21" fillId="8" borderId="2" xfId="0" applyNumberFormat="1" applyFont="1" applyFill="1" applyBorder="1" applyAlignment="1">
      <x:alignment vertical="center"/>
    </x:xf>
    <x:xf numFmtId="201" fontId="21" fillId="8" borderId="5" xfId="0" applyNumberFormat="1" applyFont="1" applyFill="1" applyBorder="1" applyAlignment="1">
      <x:alignment vertical="center"/>
    </x:xf>
    <x:xf numFmtId="201" fontId="21" fillId="8" borderId="15" xfId="0" applyNumberFormat="1" applyFont="1" applyFill="1" applyBorder="1" applyAlignment="1">
      <x:alignment vertical="center"/>
    </x:xf>
    <x:xf numFmtId="201" fontId="21" fillId="8" borderId="2" xfId="0" applyNumberFormat="1" applyFont="1" applyFill="1" applyBorder="1" applyAlignment="1">
      <x:alignment vertical="center"/>
    </x:xf>
    <x:xf numFmtId="202" fontId="21" fillId="8" borderId="5" xfId="0" applyNumberFormat="1" applyFont="1" applyFill="1" applyBorder="1" applyAlignment="1">
      <x:alignment vertical="center"/>
    </x:xf>
    <x:xf numFmtId="202" fontId="21" fillId="8" borderId="15" xfId="0" applyNumberFormat="1" applyFont="1" applyFill="1" applyBorder="1" applyAlignment="1">
      <x:alignment vertical="center"/>
    </x:xf>
    <x:xf numFmtId="202" fontId="21" fillId="8" borderId="2" xfId="0" applyNumberFormat="1" applyFont="1" applyFill="1" applyBorder="1" applyAlignment="1">
      <x:alignment vertical="center"/>
    </x:xf>
    <x:xf numFmtId="200" fontId="21" fillId="8" borderId="5" xfId="0" applyNumberFormat="1" applyFont="1" applyFill="1" applyBorder="1" applyAlignment="1">
      <x:alignment vertical="center"/>
    </x:xf>
    <x:xf numFmtId="200" fontId="21" fillId="8" borderId="15" xfId="0" applyNumberFormat="1" applyFont="1" applyFill="1" applyBorder="1" applyAlignment="1">
      <x:alignment vertical="center"/>
    </x:xf>
    <x:xf numFmtId="200" fontId="21" fillId="8" borderId="2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9E3F2B"/>
      </x:font>
      <x:fill>
        <x:patternFill patternType="solid">
          <x:bgColor rgb="FFF8E9E4"/>
        </x:patternFill>
      </x:fill>
    </x:dxf>
    <x:dxf>
      <x:font>
        <x:b/>
        <x:color rgb="FF9E3F2B"/>
      </x:font>
      <x:fill>
        <x:patternFill patternType="solid">
          <x:bgColor rgb="FFF8E9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c355763d44f13" /><Relationship Type="http://schemas.openxmlformats.org/officeDocument/2006/relationships/theme" Target="/xl/theme/theme1.xml" Id="R36938f03f7e640f6" /><Relationship Type="http://schemas.openxmlformats.org/officeDocument/2006/relationships/sharedStrings" Target="/xl/sharedStrings.xml" Id="R206ff51a1c384a30" /><Relationship Type="http://schemas.openxmlformats.org/officeDocument/2006/relationships/worksheet" Target="/xl/worksheets/sheet1.xml" Id="R2361a3baea2f4901" /><Relationship Type="http://schemas.openxmlformats.org/officeDocument/2006/relationships/worksheet" Target="/xl/worksheets/sheet2.xml" Id="Rf2e7baeca27f4a22" /></Relationships>
</file>

<file path=xl/tables/table1.xml><?xml version="1.0" encoding="utf-8"?>
<x:table xmlns:x="http://schemas.openxmlformats.org/spreadsheetml/2006/main" id="1" name="RelayProjectsTable" displayName="RelayProjectsTable" ref="A4:K12" headerRowCount="1" totalsRowCount="0" totalsRowShown="0">
  <x:tableColumns count="11">
    <x:tableColumn id="1" name="Project"/>
    <x:tableColumn id="2" name="Portfolio"/>
    <x:tableColumn id="3" name="Owner"/>
    <x:tableColumn id="4" name="Budget"/>
    <x:tableColumn id="5" name="Impact"/>
    <x:tableColumn id="6" name="Risk"/>
    <x:tableColumn id="7" name="Health"/>
    <x:tableColumn id="8" name="Progress"/>
    <x:tableColumn id="9" name="Next milestone"/>
    <x:tableColumn id="10" name="Milestone"/>
    <x:tableColumn id="11" name="Risk load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c108102e0a43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109999656677246" hidden="0" customWidth="1"/>
    <x:col min="3" max="3" width="10" hidden="0" customWidth="1"/>
    <x:col min="4" max="4" width="11.109999656677246" hidden="0" customWidth="1"/>
    <x:col min="5" max="5" width="7.21999979019165" hidden="0" customWidth="1"/>
    <x:col min="6" max="6" width="7.21999979019165" hidden="0" customWidth="1"/>
    <x:col min="7" max="7" width="10" hidden="0" customWidth="1"/>
    <x:col min="8" max="8" width="8.890000343322754" hidden="0" customWidth="1"/>
    <x:col min="9" max="9" width="11.109999656677246" hidden="0" customWidth="1"/>
    <x:col min="10" max="10" width="20" hidden="0" customWidth="1"/>
    <x:col min="11" max="11" width="12.220000267028809" hidden="0" customWidth="1"/>
  </x:cols>
  <x:sheetData>
    <x:row r="1" ht="24" customHeight="1">
      <x:c r="A1" s="3" t="str">
        <x:v>Relay Project Portfolio — Source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18.75" customHeight="1">
      <x:c r="A3" s="5" t="str">
        <x:v>Editable project data drives the risk map, KPI totals, and milestone register.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 ht="22.5" customHeight="1">
      <x:c r="A4" s="7" t="str">
        <x:v>Project</x:v>
      </x:c>
      <x:c r="B4" s="7" t="str">
        <x:v>Portfolio</x:v>
      </x:c>
      <x:c r="C4" s="7" t="str">
        <x:v>Owner</x:v>
      </x:c>
      <x:c r="D4" s="7" t="str">
        <x:v>Budget</x:v>
      </x:c>
      <x:c r="E4" s="7" t="str">
        <x:v>Impact</x:v>
      </x:c>
      <x:c r="F4" s="7" t="str">
        <x:v>Risk</x:v>
      </x:c>
      <x:c r="G4" s="7" t="str">
        <x:v>Health</x:v>
      </x:c>
      <x:c r="H4" s="7" t="str">
        <x:v>Progress</x:v>
      </x:c>
      <x:c r="I4" s="7" t="str">
        <x:v>Next milestone</x:v>
      </x:c>
      <x:c r="J4" s="7" t="str">
        <x:v>Milestone</x:v>
      </x:c>
      <x:c r="K4" s="7" t="str">
        <x:v>Risk load</x:v>
      </x:c>
    </x:row>
    <x:row r="5" ht="21" customHeight="1">
      <x:c r="A5" s="8" t="str">
        <x:v>Identity migration</x:v>
      </x:c>
      <x:c r="B5" s="8" t="str">
        <x:v>Platform</x:v>
      </x:c>
      <x:c r="C5" s="8" t="str">
        <x:v>Hana</x:v>
      </x:c>
      <x:c r="D5" s="11" t="n">
        <x:v>210000</x:v>
      </x:c>
      <x:c r="E5" s="8" t="n">
        <x:v>5</x:v>
      </x:c>
      <x:c r="F5" s="8" t="n">
        <x:v>4</x:v>
      </x:c>
      <x:c r="G5" s="8" t="str">
        <x:v>At risk</x:v>
      </x:c>
      <x:c r="H5" s="12" t="n">
        <x:v>0.71</x:v>
      </x:c>
      <x:c r="I5" s="13" t="n">
        <x:v>46338</x:v>
      </x:c>
      <x:c r="J5" s="8" t="str">
        <x:v>Security sign-off</x:v>
      </x:c>
      <x:c r="K5" s="10" t="n">
        <x:f>D5*F5</x:f>
        <x:v>840000</x:v>
      </x:c>
    </x:row>
    <x:row r="6" ht="21" customHeight="1">
      <x:c r="A6" s="8" t="str">
        <x:v>Warehouse automation</x:v>
      </x:c>
      <x:c r="B6" s="8" t="str">
        <x:v>Operations</x:v>
      </x:c>
      <x:c r="C6" s="8" t="str">
        <x:v>Victor</x:v>
      </x:c>
      <x:c r="D6" s="11" t="n">
        <x:v>145000</x:v>
      </x:c>
      <x:c r="E6" s="8" t="n">
        <x:v>5</x:v>
      </x:c>
      <x:c r="F6" s="8" t="n">
        <x:v>3</x:v>
      </x:c>
      <x:c r="G6" s="8" t="str">
        <x:v>On track</x:v>
      </x:c>
      <x:c r="H6" s="12" t="n">
        <x:v>0.46</x:v>
      </x:c>
      <x:c r="I6" s="13" t="n">
        <x:v>46359</x:v>
      </x:c>
      <x:c r="J6" s="8" t="str">
        <x:v>Pilot launch</x:v>
      </x:c>
      <x:c r="K6" s="10" t="n">
        <x:f>D6*F6</x:f>
        <x:v>435000</x:v>
      </x:c>
    </x:row>
    <x:row r="7" ht="21" customHeight="1">
      <x:c r="A7" s="8" t="str">
        <x:v>EU market entry</x:v>
      </x:c>
      <x:c r="B7" s="8" t="str">
        <x:v>Growth</x:v>
      </x:c>
      <x:c r="C7" s="8" t="str">
        <x:v>Nadia</x:v>
      </x:c>
      <x:c r="D7" s="11" t="n">
        <x:v>85000</x:v>
      </x:c>
      <x:c r="E7" s="8" t="n">
        <x:v>4</x:v>
      </x:c>
      <x:c r="F7" s="8" t="n">
        <x:v>4</x:v>
      </x:c>
      <x:c r="G7" s="8" t="str">
        <x:v>At risk</x:v>
      </x:c>
      <x:c r="H7" s="12" t="n">
        <x:v>0.32</x:v>
      </x:c>
      <x:c r="I7" s="13" t="n">
        <x:v>46374</x:v>
      </x:c>
      <x:c r="J7" s="8" t="str">
        <x:v>Legal entity</x:v>
      </x:c>
      <x:c r="K7" s="10" t="n">
        <x:f>D7*F7</x:f>
        <x:v>340000</x:v>
      </x:c>
    </x:row>
    <x:row r="8" ht="21" customHeight="1">
      <x:c r="A8" s="8" t="str">
        <x:v>New help center</x:v>
      </x:c>
      <x:c r="B8" s="8" t="str">
        <x:v>Customer</x:v>
      </x:c>
      <x:c r="C8" s="8" t="str">
        <x:v>Leo</x:v>
      </x:c>
      <x:c r="D8" s="11" t="n">
        <x:v>42000</x:v>
      </x:c>
      <x:c r="E8" s="8" t="n">
        <x:v>3</x:v>
      </x:c>
      <x:c r="F8" s="8" t="n">
        <x:v>2</x:v>
      </x:c>
      <x:c r="G8" s="8" t="str">
        <x:v>On track</x:v>
      </x:c>
      <x:c r="H8" s="12" t="n">
        <x:v>0.88</x:v>
      </x:c>
      <x:c r="I8" s="13" t="n">
        <x:v>46323</x:v>
      </x:c>
      <x:c r="J8" s="8" t="str">
        <x:v>Content freeze</x:v>
      </x:c>
      <x:c r="K8" s="10" t="n">
        <x:f>D8*F8</x:f>
        <x:v>84000</x:v>
      </x:c>
    </x:row>
    <x:row r="9" ht="21" customHeight="1">
      <x:c r="A9" s="8" t="str">
        <x:v>Analytics rebuild</x:v>
      </x:c>
      <x:c r="B9" s="8" t="str">
        <x:v>Platform</x:v>
      </x:c>
      <x:c r="C9" s="8" t="str">
        <x:v>Grace</x:v>
      </x:c>
      <x:c r="D9" s="11" t="n">
        <x:v>176000</x:v>
      </x:c>
      <x:c r="E9" s="8" t="n">
        <x:v>4</x:v>
      </x:c>
      <x:c r="F9" s="8" t="n">
        <x:v>5</x:v>
      </x:c>
      <x:c r="G9" s="8" t="str">
        <x:v>Paused</x:v>
      </x:c>
      <x:c r="H9" s="12" t="n">
        <x:v>0.63</x:v>
      </x:c>
      <x:c r="I9" s="13" t="n">
        <x:v>46397</x:v>
      </x:c>
      <x:c r="J9" s="8" t="str">
        <x:v>Data contract</x:v>
      </x:c>
      <x:c r="K9" s="10" t="n">
        <x:f>D9*F9</x:f>
        <x:v>880000</x:v>
      </x:c>
    </x:row>
    <x:row r="10" ht="21" customHeight="1">
      <x:c r="A10" s="8" t="str">
        <x:v>Partner portal</x:v>
      </x:c>
      <x:c r="B10" s="8" t="str">
        <x:v>Growth</x:v>
      </x:c>
      <x:c r="C10" s="8" t="str">
        <x:v>Owen</x:v>
      </x:c>
      <x:c r="D10" s="11" t="n">
        <x:v>93000</x:v>
      </x:c>
      <x:c r="E10" s="8" t="n">
        <x:v>3</x:v>
      </x:c>
      <x:c r="F10" s="8" t="n">
        <x:v>3</x:v>
      </x:c>
      <x:c r="G10" s="8" t="str">
        <x:v>Planning</x:v>
      </x:c>
      <x:c r="H10" s="12" t="n">
        <x:v>0.25</x:v>
      </x:c>
      <x:c r="I10" s="13" t="n">
        <x:v>46409</x:v>
      </x:c>
      <x:c r="J10" s="8" t="str">
        <x:v>Prototype review</x:v>
      </x:c>
      <x:c r="K10" s="10" t="n">
        <x:f>D10*F10</x:f>
        <x:v>279000</x:v>
      </x:c>
    </x:row>
    <x:row r="11" ht="21" customHeight="1">
      <x:c r="A11" s="8" t="str">
        <x:v>Support routing</x:v>
      </x:c>
      <x:c r="B11" s="8" t="str">
        <x:v>Customer</x:v>
      </x:c>
      <x:c r="C11" s="8" t="str">
        <x:v>Leo</x:v>
      </x:c>
      <x:c r="D11" s="11" t="n">
        <x:v>54000</x:v>
      </x:c>
      <x:c r="E11" s="8" t="n">
        <x:v>4</x:v>
      </x:c>
      <x:c r="F11" s="8" t="n">
        <x:v>2</x:v>
      </x:c>
      <x:c r="G11" s="8" t="str">
        <x:v>On track</x:v>
      </x:c>
      <x:c r="H11" s="12" t="n">
        <x:v>0.79</x:v>
      </x:c>
      <x:c r="I11" s="13" t="n">
        <x:v>46334</x:v>
      </x:c>
      <x:c r="J11" s="8" t="str">
        <x:v>Queue migration</x:v>
      </x:c>
      <x:c r="K11" s="10" t="n">
        <x:f>D11*F11</x:f>
        <x:v>108000</x:v>
      </x:c>
    </x:row>
    <x:row r="12" ht="21" customHeight="1">
      <x:c r="A12" s="8" t="str">
        <x:v>SOC 2 readiness</x:v>
      </x:c>
      <x:c r="B12" s="8" t="str">
        <x:v>Operations</x:v>
      </x:c>
      <x:c r="C12" s="8" t="str">
        <x:v>Hana</x:v>
      </x:c>
      <x:c r="D12" s="11" t="n">
        <x:v>118000</x:v>
      </x:c>
      <x:c r="E12" s="8" t="n">
        <x:v>5</x:v>
      </x:c>
      <x:c r="F12" s="8" t="n">
        <x:v>5</x:v>
      </x:c>
      <x:c r="G12" s="8" t="str">
        <x:v>At risk</x:v>
      </x:c>
      <x:c r="H12" s="12" t="n">
        <x:v>0.57</x:v>
      </x:c>
      <x:c r="I12" s="13" t="n">
        <x:v>46386</x:v>
      </x:c>
      <x:c r="J12" s="8" t="str">
        <x:v>Evidence audit</x:v>
      </x:c>
      <x:c r="K12" s="10" t="n">
        <x:f>D12*F12</x:f>
        <x:v>590000</x:v>
      </x:c>
    </x:row>
  </x:sheetData>
  <x:mergeCells>
    <x:mergeCell ref="A1:K2"/>
    <x:mergeCell ref="A3:K3"/>
  </x:mergeCells>
  <x:conditionalFormatting sqref="G5:G40">
    <x:cfRule type="containsText" dxfId="0" priority="1" operator="containsText" text="At risk"/>
  </x:conditionalFormatting>
  <x:dataValidations count="1">
    <x:dataValidation type="list" sqref="G5:G40">
      <x:formula1>"Planning,On track,At risk,Paused,Complete"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c108102e0a43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10.4399995803833" hidden="0" customWidth="1"/>
    <x:col min="3" max="3" width="10.4399995803833" hidden="0" customWidth="1"/>
    <x:col min="4" max="4" width="10.4399995803833" hidden="0" customWidth="1"/>
    <x:col min="5" max="5" width="10.4399995803833" hidden="0" customWidth="1"/>
    <x:col min="6" max="6" width="10.4399995803833" hidden="0" customWidth="1"/>
    <x:col min="7" max="7" width="10.4399995803833" hidden="0" customWidth="1"/>
    <x:col min="8" max="8" width="2" hidden="0" customWidth="1"/>
    <x:col min="9" max="9" width="15.5600004196167" hidden="0" customWidth="1"/>
    <x:col min="10" max="10" width="7.78000020980835" hidden="0" customWidth="1"/>
    <x:col min="11" max="11" width="8.890000343322754" hidden="0" customWidth="1"/>
    <x:col min="12" max="12" width="8.4399995803833" hidden="0" customWidth="1"/>
    <x:col min="13" max="13" width="8.890000343322754" hidden="0" customWidth="1"/>
    <x:col min="14" max="14" width="13.890000343322754" hidden="0" customWidth="1"/>
    <x:col min="15" max="15" width="10" hidden="0" customWidth="1"/>
  </x:cols>
  <x:sheetData>
    <x:row r="1" ht="25.5" customHeight="1">
      <x:c r="A1" s="18" t="str">
        <x:v>Relay Project Portfolio Command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</x:row>
    <x:row r="2" ht="22.5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 ht="18" customHeight="1">
      <x:c r="A3" s="20" t="str">
        <x:v>RISK × IMPACT MAP · EXECUTIVE PRIORITIES, INVESTMENT, PROGRESS, AND NEXT MILESTONES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</x:row>
    <x:row r="4" ht="16.5" customHeight="1">
      <x:c r="A4" s="23" t="str">
        <x:v>TOTAL INVESTMENT</x:v>
      </x:c>
      <x:c r="B4" s="23"/>
      <x:c r="C4" s="23"/>
      <x:c r="D4" s="46" t="str">
        <x:v>AT RISK</x:v>
      </x:c>
      <x:c r="E4" s="46"/>
      <x:c r="F4" s="46"/>
      <x:c r="G4" s="23" t="str">
        <x:v>AVG PROGRESS</x:v>
      </x:c>
      <x:c r="H4" s="23"/>
      <x:c r="I4" s="23"/>
      <x:c r="J4" s="23" t="str">
        <x:v>HIGH-RISK LOAD</x:v>
      </x:c>
      <x:c r="K4" s="23"/>
      <x:c r="L4" s="23"/>
      <x:c r="M4" s="91" t="str">
        <x:v>STEERING CALL
Identity + SOC 2 need executive unblock; pause Analytics until data ownership is signed.</x:v>
      </x:c>
      <x:c r="N4" s="91"/>
      <x:c r="O4" s="91"/>
    </x:row>
    <x:row r="5" ht="25.5" customHeight="1">
      <x:c r="A5" s="38" t="n">
        <x:f>SUM('Projects'!$D$5:$D$12)</x:f>
        <x:v>923000</x:v>
      </x:c>
      <x:c r="B5" s="39"/>
      <x:c r="C5" s="40"/>
      <x:c r="D5" s="53" t="n">
        <x:f>COUNTIF('Projects'!$G$5:$G$12,"At risk")</x:f>
        <x:v>3</x:v>
      </x:c>
      <x:c r="E5" s="54"/>
      <x:c r="F5" s="55"/>
      <x:c r="G5" s="65" t="n">
        <x:f>AVERAGE('Projects'!$H$5:$H$12)</x:f>
        <x:v>0.57625</x:v>
      </x:c>
      <x:c r="H5" s="66"/>
      <x:c r="I5" s="67"/>
      <x:c r="J5" s="84" t="n">
        <x:f>SUMIF('Projects'!$F$5:$F$12,"&gt;=4",'Projects'!$D$5:$D$12)</x:f>
        <x:v>589000</x:v>
      </x:c>
      <x:c r="K5" s="85"/>
      <x:c r="L5" s="86"/>
      <x:c r="M5" s="91"/>
      <x:c r="N5" s="91"/>
      <x:c r="O5" s="91"/>
    </x:row>
    <x:row r="6" ht="25.5" customHeight="1">
      <x:c r="A6" s="41"/>
      <x:c r="B6" s="42"/>
      <x:c r="C6" s="43"/>
      <x:c r="D6" s="56"/>
      <x:c r="E6" s="57"/>
      <x:c r="F6" s="58"/>
      <x:c r="G6" s="68"/>
      <x:c r="H6" s="69"/>
      <x:c r="I6" s="70"/>
      <x:c r="J6" s="87"/>
      <x:c r="K6" s="88"/>
      <x:c r="L6" s="89"/>
      <x:c r="M6" s="91"/>
      <x:c r="N6" s="91"/>
      <x:c r="O6" s="91"/>
    </x:row>
    <x:row r="7" ht="10.5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</x:row>
    <x:row r="8" ht="19.5" customHeight="1">
      <x:c r="A8" s="93" t="str">
        <x:v>PORTFOLIO RISK × IMPACT MAP</x:v>
      </x:c>
      <x:c r="B8" s="93"/>
      <x:c r="C8" s="93"/>
      <x:c r="D8" s="93"/>
      <x:c r="E8" s="93"/>
      <x:c r="F8" s="93"/>
      <x:c r="G8" s="93"/>
      <x:c r="H8" s="16"/>
      <x:c r="I8" s="93" t="str">
        <x:v>NEXT MILESTONES</x:v>
      </x:c>
      <x:c r="J8" s="93"/>
      <x:c r="K8" s="93"/>
      <x:c r="L8" s="93"/>
      <x:c r="M8" s="93"/>
      <x:c r="N8" s="93"/>
      <x:c r="O8" s="93"/>
    </x:row>
    <x:row r="9" ht="19.5" customHeight="1">
      <x:c r="A9" s="103" t="str">
        <x:v>PROTECT THE BETS</x:v>
      </x:c>
      <x:c r="B9" s="96"/>
      <x:c r="C9" s="96"/>
      <x:c r="D9" s="97"/>
      <x:c r="E9" s="113" t="str">
        <x:v>CONTROL EXPOSURE</x:v>
      </x:c>
      <x:c r="F9" s="106"/>
      <x:c r="G9" s="107"/>
      <x:c r="H9" s="16"/>
      <x:c r="I9" s="136" t="str">
        <x:v>Project</x:v>
      </x:c>
      <x:c r="J9" s="136" t="str">
        <x:v>Owner</x:v>
      </x:c>
      <x:c r="K9" s="136" t="str">
        <x:v>Health</x:v>
      </x:c>
      <x:c r="L9" s="136" t="str">
        <x:v>Progress</x:v>
      </x:c>
      <x:c r="M9" s="136" t="str">
        <x:v>Date</x:v>
      </x:c>
      <x:c r="N9" s="136" t="str">
        <x:v>Milestone</x:v>
      </x:c>
      <x:c r="O9" s="136" t="str">
        <x:v>Budget</x:v>
      </x:c>
    </x:row>
    <x:row r="10" ht="19.5" customHeight="1">
      <x:c r="A10" s="98" t="str">
        <x:f>'Projects'!A5</x:f>
        <x:v>Identity migration</x:v>
      </x:c>
      <x:c r="B10" s="94"/>
      <x:c r="C10" s="94"/>
      <x:c r="D10" s="99"/>
      <x:c r="E10" s="108" t="str">
        <x:f>'Projects'!A9</x:f>
        <x:v>Analytics rebuild</x:v>
      </x:c>
      <x:c r="F10" s="104"/>
      <x:c r="G10" s="109"/>
      <x:c r="H10" s="16"/>
      <x:c r="I10" s="138" t="str">
        <x:f>'Projects'!A5</x:f>
        <x:v>Identity migration</x:v>
      </x:c>
      <x:c r="J10" s="138" t="str">
        <x:f>'Projects'!C5</x:f>
        <x:v>Hana</x:v>
      </x:c>
      <x:c r="K10" s="138" t="str">
        <x:f>'Projects'!G5</x:f>
        <x:v>At risk</x:v>
      </x:c>
      <x:c r="L10" s="141" t="n">
        <x:f>'Projects'!H5</x:f>
        <x:v>0.71</x:v>
      </x:c>
      <x:c r="M10" s="144" t="n">
        <x:f>'Projects'!I5</x:f>
        <x:v>46338</x:v>
      </x:c>
      <x:c r="N10" s="138" t="str">
        <x:f>'Projects'!J5</x:f>
        <x:v>Security sign-off</x:v>
      </x:c>
      <x:c r="O10" s="147" t="n">
        <x:f>'Projects'!D5</x:f>
        <x:v>210000</x:v>
      </x:c>
    </x:row>
    <x:row r="11" ht="19.5" customHeight="1">
      <x:c r="A11" s="98" t="str">
        <x:f>'Projects'!A7</x:f>
        <x:v>EU market entry</x:v>
      </x:c>
      <x:c r="B11" s="94"/>
      <x:c r="C11" s="94"/>
      <x:c r="D11" s="99"/>
      <x:c r="E11" s="108" t="str">
        <x:f>'Projects'!A10</x:f>
        <x:v>Partner portal</x:v>
      </x:c>
      <x:c r="F11" s="104"/>
      <x:c r="G11" s="109"/>
      <x:c r="H11" s="16"/>
      <x:c r="I11" s="139" t="str">
        <x:f>'Projects'!A6</x:f>
        <x:v>Warehouse automation</x:v>
      </x:c>
      <x:c r="J11" s="139" t="str">
        <x:f>'Projects'!C6</x:f>
        <x:v>Victor</x:v>
      </x:c>
      <x:c r="K11" s="139" t="str">
        <x:f>'Projects'!G6</x:f>
        <x:v>On track</x:v>
      </x:c>
      <x:c r="L11" s="142" t="n">
        <x:f>'Projects'!H6</x:f>
        <x:v>0.46</x:v>
      </x:c>
      <x:c r="M11" s="145" t="n">
        <x:f>'Projects'!I6</x:f>
        <x:v>46359</x:v>
      </x:c>
      <x:c r="N11" s="139" t="str">
        <x:f>'Projects'!J6</x:f>
        <x:v>Pilot launch</x:v>
      </x:c>
      <x:c r="O11" s="148" t="n">
        <x:f>'Projects'!D6</x:f>
        <x:v>145000</x:v>
      </x:c>
    </x:row>
    <x:row r="12" ht="19.5" customHeight="1">
      <x:c r="A12" s="98" t="str">
        <x:f>'Projects'!A12</x:f>
        <x:v>SOC 2 readiness</x:v>
      </x:c>
      <x:c r="B12" s="94"/>
      <x:c r="C12" s="94"/>
      <x:c r="D12" s="99"/>
      <x:c r="E12" s="108"/>
      <x:c r="F12" s="104"/>
      <x:c r="G12" s="109"/>
      <x:c r="H12" s="16"/>
      <x:c r="I12" s="139" t="str">
        <x:f>'Projects'!A7</x:f>
        <x:v>EU market entry</x:v>
      </x:c>
      <x:c r="J12" s="139" t="str">
        <x:f>'Projects'!C7</x:f>
        <x:v>Nadia</x:v>
      </x:c>
      <x:c r="K12" s="139" t="str">
        <x:f>'Projects'!G7</x:f>
        <x:v>At risk</x:v>
      </x:c>
      <x:c r="L12" s="142" t="n">
        <x:f>'Projects'!H7</x:f>
        <x:v>0.32</x:v>
      </x:c>
      <x:c r="M12" s="145" t="n">
        <x:f>'Projects'!I7</x:f>
        <x:v>46374</x:v>
      </x:c>
      <x:c r="N12" s="139" t="str">
        <x:f>'Projects'!J7</x:f>
        <x:v>Legal entity</x:v>
      </x:c>
      <x:c r="O12" s="148" t="n">
        <x:f>'Projects'!D7</x:f>
        <x:v>85000</x:v>
      </x:c>
    </x:row>
    <x:row r="13" ht="19.5" customHeight="1">
      <x:c r="A13" s="100"/>
      <x:c r="B13" s="101"/>
      <x:c r="C13" s="101"/>
      <x:c r="D13" s="102"/>
      <x:c r="E13" s="110"/>
      <x:c r="F13" s="111"/>
      <x:c r="G13" s="112"/>
      <x:c r="H13" s="16"/>
      <x:c r="I13" s="139" t="str">
        <x:f>'Projects'!A8</x:f>
        <x:v>New help center</x:v>
      </x:c>
      <x:c r="J13" s="139" t="str">
        <x:f>'Projects'!C8</x:f>
        <x:v>Leo</x:v>
      </x:c>
      <x:c r="K13" s="139" t="str">
        <x:f>'Projects'!G8</x:f>
        <x:v>On track</x:v>
      </x:c>
      <x:c r="L13" s="142" t="n">
        <x:f>'Projects'!H8</x:f>
        <x:v>0.88</x:v>
      </x:c>
      <x:c r="M13" s="145" t="n">
        <x:f>'Projects'!I8</x:f>
        <x:v>46323</x:v>
      </x:c>
      <x:c r="N13" s="139" t="str">
        <x:f>'Projects'!J8</x:f>
        <x:v>Content freeze</x:v>
      </x:c>
      <x:c r="O13" s="148" t="n">
        <x:f>'Projects'!D8</x:f>
        <x:v>42000</x:v>
      </x:c>
    </x:row>
    <x:row r="14" ht="19.5" customHeight="1">
      <x:c r="A14" s="124" t="str">
        <x:v>ACCELERATE</x:v>
      </x:c>
      <x:c r="B14" s="117"/>
      <x:c r="C14" s="117"/>
      <x:c r="D14" s="118"/>
      <x:c r="E14" s="135" t="str">
        <x:v>MAINTAIN</x:v>
      </x:c>
      <x:c r="F14" s="128"/>
      <x:c r="G14" s="129"/>
      <x:c r="H14" s="16"/>
      <x:c r="I14" s="139" t="str">
        <x:f>'Projects'!A9</x:f>
        <x:v>Analytics rebuild</x:v>
      </x:c>
      <x:c r="J14" s="139" t="str">
        <x:f>'Projects'!C9</x:f>
        <x:v>Grace</x:v>
      </x:c>
      <x:c r="K14" s="139" t="str">
        <x:f>'Projects'!G9</x:f>
        <x:v>Paused</x:v>
      </x:c>
      <x:c r="L14" s="142" t="n">
        <x:f>'Projects'!H9</x:f>
        <x:v>0.63</x:v>
      </x:c>
      <x:c r="M14" s="145" t="n">
        <x:f>'Projects'!I9</x:f>
        <x:v>46397</x:v>
      </x:c>
      <x:c r="N14" s="139" t="str">
        <x:f>'Projects'!J9</x:f>
        <x:v>Data contract</x:v>
      </x:c>
      <x:c r="O14" s="148" t="n">
        <x:f>'Projects'!D9</x:f>
        <x:v>176000</x:v>
      </x:c>
    </x:row>
    <x:row r="15" ht="19.5" customHeight="1">
      <x:c r="A15" s="119" t="str">
        <x:f>'Projects'!A6</x:f>
        <x:v>Warehouse automation</x:v>
      </x:c>
      <x:c r="B15" s="115"/>
      <x:c r="C15" s="115"/>
      <x:c r="D15" s="120"/>
      <x:c r="E15" s="130" t="str">
        <x:f>'Projects'!A8</x:f>
        <x:v>New help center</x:v>
      </x:c>
      <x:c r="F15" s="126"/>
      <x:c r="G15" s="131"/>
      <x:c r="H15" s="16"/>
      <x:c r="I15" s="139" t="str">
        <x:f>'Projects'!A10</x:f>
        <x:v>Partner portal</x:v>
      </x:c>
      <x:c r="J15" s="139" t="str">
        <x:f>'Projects'!C10</x:f>
        <x:v>Owen</x:v>
      </x:c>
      <x:c r="K15" s="139" t="str">
        <x:f>'Projects'!G10</x:f>
        <x:v>Planning</x:v>
      </x:c>
      <x:c r="L15" s="142" t="n">
        <x:f>'Projects'!H10</x:f>
        <x:v>0.25</x:v>
      </x:c>
      <x:c r="M15" s="145" t="n">
        <x:f>'Projects'!I10</x:f>
        <x:v>46409</x:v>
      </x:c>
      <x:c r="N15" s="139" t="str">
        <x:f>'Projects'!J10</x:f>
        <x:v>Prototype review</x:v>
      </x:c>
      <x:c r="O15" s="148" t="n">
        <x:f>'Projects'!D10</x:f>
        <x:v>93000</x:v>
      </x:c>
    </x:row>
    <x:row r="16" ht="19.5" customHeight="1">
      <x:c r="A16" s="119" t="str">
        <x:f>'Projects'!A11</x:f>
        <x:v>Support routing</x:v>
      </x:c>
      <x:c r="B16" s="115"/>
      <x:c r="C16" s="115"/>
      <x:c r="D16" s="120"/>
      <x:c r="E16" s="130"/>
      <x:c r="F16" s="126"/>
      <x:c r="G16" s="131"/>
      <x:c r="H16" s="16"/>
      <x:c r="I16" s="139" t="str">
        <x:f>'Projects'!A11</x:f>
        <x:v>Support routing</x:v>
      </x:c>
      <x:c r="J16" s="139" t="str">
        <x:f>'Projects'!C11</x:f>
        <x:v>Leo</x:v>
      </x:c>
      <x:c r="K16" s="139" t="str">
        <x:f>'Projects'!G11</x:f>
        <x:v>On track</x:v>
      </x:c>
      <x:c r="L16" s="142" t="n">
        <x:f>'Projects'!H11</x:f>
        <x:v>0.79</x:v>
      </x:c>
      <x:c r="M16" s="145" t="n">
        <x:f>'Projects'!I11</x:f>
        <x:v>46334</x:v>
      </x:c>
      <x:c r="N16" s="139" t="str">
        <x:f>'Projects'!J11</x:f>
        <x:v>Queue migration</x:v>
      </x:c>
      <x:c r="O16" s="148" t="n">
        <x:f>'Projects'!D11</x:f>
        <x:v>54000</x:v>
      </x:c>
    </x:row>
    <x:row r="17" ht="19.5" customHeight="1">
      <x:c r="A17" s="119"/>
      <x:c r="B17" s="115"/>
      <x:c r="C17" s="115"/>
      <x:c r="D17" s="120"/>
      <x:c r="E17" s="130"/>
      <x:c r="F17" s="126"/>
      <x:c r="G17" s="131"/>
      <x:c r="H17" s="16"/>
      <x:c r="I17" s="140" t="str">
        <x:f>'Projects'!A12</x:f>
        <x:v>SOC 2 readiness</x:v>
      </x:c>
      <x:c r="J17" s="140" t="str">
        <x:f>'Projects'!C12</x:f>
        <x:v>Hana</x:v>
      </x:c>
      <x:c r="K17" s="140" t="str">
        <x:f>'Projects'!G12</x:f>
        <x:v>At risk</x:v>
      </x:c>
      <x:c r="L17" s="143" t="n">
        <x:f>'Projects'!H12</x:f>
        <x:v>0.57</x:v>
      </x:c>
      <x:c r="M17" s="146" t="n">
        <x:f>'Projects'!I12</x:f>
        <x:v>46386</x:v>
      </x:c>
      <x:c r="N17" s="140" t="str">
        <x:f>'Projects'!J12</x:f>
        <x:v>Evidence audit</x:v>
      </x:c>
      <x:c r="O17" s="149" t="n">
        <x:f>'Projects'!D12</x:f>
        <x:v>118000</x:v>
      </x:c>
    </x:row>
    <x:row r="18" ht="19.5" customHeight="1">
      <x:c r="A18" s="121"/>
      <x:c r="B18" s="122"/>
      <x:c r="C18" s="122"/>
      <x:c r="D18" s="123"/>
      <x:c r="E18" s="132"/>
      <x:c r="F18" s="133"/>
      <x:c r="G18" s="134"/>
      <x:c r="H18" s="16"/>
      <x:c r="I18" s="16"/>
      <x:c r="J18" s="16"/>
      <x:c r="K18" s="16"/>
      <x:c r="L18" s="16"/>
      <x:c r="M18" s="16"/>
      <x:c r="N18" s="16"/>
      <x:c r="O18" s="16"/>
    </x:row>
    <x:row r="19" ht="19.5" customHeight="1">
      <x:c r="A19" s="151" t="str">
        <x:v>Map reading · Top-left = high impact / high risk. Investment decisions live in Projects; this page is the leadership conversation.</x:v>
      </x:c>
      <x:c r="B19" s="151"/>
      <x:c r="C19" s="151"/>
      <x:c r="D19" s="151"/>
      <x:c r="E19" s="151"/>
      <x:c r="F19" s="151"/>
      <x:c r="G19" s="151"/>
      <x:c r="H19" s="151"/>
      <x:c r="I19" s="151"/>
      <x:c r="J19" s="151"/>
      <x:c r="K19" s="151"/>
      <x:c r="L19" s="151"/>
      <x:c r="M19" s="151"/>
      <x:c r="N19" s="151"/>
      <x:c r="O19" s="151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</x:row>
  </x:sheetData>
  <x:mergeCells>
    <x:mergeCell ref="A1:O2"/>
    <x:mergeCell ref="A3:O3"/>
    <x:mergeCell ref="A4:C4"/>
    <x:mergeCell ref="A5:C6"/>
    <x:mergeCell ref="D4:F4"/>
    <x:mergeCell ref="D5:F6"/>
    <x:mergeCell ref="G4:I4"/>
    <x:mergeCell ref="G5:I6"/>
    <x:mergeCell ref="J4:L4"/>
    <x:mergeCell ref="J5:L6"/>
    <x:mergeCell ref="M4:O6"/>
    <x:mergeCell ref="A8:G8"/>
    <x:mergeCell ref="I8:O8"/>
    <x:mergeCell ref="A19:O19"/>
  </x:mergeCells>
  <x:conditionalFormatting sqref="K10:K17">
    <x:cfRule type="containsText" dxfId="1" priority="1" operator="containsText" text="At risk"/>
  </x:conditionalFormatting>
  <x:conditionalFormatting sqref="L10:L17">
    <x:cfRule type="dataBar" priority="2">
      <x:dataBar>
        <x:cfvo type="min"/>
        <x:cfvo type="max"/>
        <x:color rgb="FFC68B3C"/>
      </x:dataBar>
      <x:extLst>
        <x:ext xmlns:x14="http://schemas.microsoft.com/office/spreadsheetml/2009/9/main" uri="{B025F937-C7B1-47D3-B67F-A62EFF666E3E}">
          <x14:id>{592523C6-7E7C-E21D-08A5-704D52C19655}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92523C6-7E7C-E21D-08A5-704D52C19655}">
            <x14:dataBar gradient="1">
              <x14:cfvo type="min"/>
              <x14:cfvo type="max"/>
              <x14:fillColor rgb="FFC68B3C"/>
            </x14:dataBar>
          </x14:cfRule>
          <xm:sqref>L10:L17</xm:sqref>
        </x14:conditionalFormatting>
      </x14:conditionalFormattings>
    </x:ext>
  </x:extLst>
</x:worksheet>
</file>