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enu Matrix" sheetId="1" state="visible" r:id="rId1"/>
    <sheet name="Recipe Costing" sheetId="2" state="visible" r:id="rId2"/>
    <sheet name="Sales Mix" sheetId="3" state="visible" r:id="rId3"/>
  </sheets>
  <definedNames>
    <definedName name="_xlnm.Print_Area" localSheetId="0">'Menu Matrix'!$B$2:$R$26</definedName>
    <definedName name="_xlnm._FilterDatabase" localSheetId="1" hidden="1">'Recipe Costing'!$A$2:$F$10</definedName>
    <definedName name="_xlnm._FilterDatabase" localSheetId="2" hidden="1">'Sales Mix'!$A$2:$C$10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rgb="FF000000"/>
      <sz val="10"/>
    </font>
    <font>
      <name val="Georgia"/>
      <charset val="1"/>
      <family val="0"/>
      <b val="1"/>
      <color rgb="FF7A1F2B"/>
      <sz val="24"/>
    </font>
    <font>
      <name val="Georgia"/>
      <charset val="1"/>
      <family val="0"/>
      <b val="1"/>
      <color rgb="FF9D2235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0"/>
    </font>
    <font>
      <name val="Aptos"/>
      <b val="1"/>
      <color rgb="003F2A20"/>
      <sz val="10"/>
    </font>
    <font>
      <name val="Georgia"/>
      <b val="1"/>
      <color rgb="0043251E"/>
      <sz val="11"/>
    </font>
  </fonts>
  <fills count="12">
    <fill>
      <patternFill/>
    </fill>
    <fill>
      <patternFill patternType="gray125"/>
    </fill>
    <fill>
      <patternFill patternType="solid">
        <fgColor rgb="FFF8EEDC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335C67"/>
        <bgColor rgb="FF333333"/>
      </patternFill>
    </fill>
    <fill>
      <patternFill patternType="solid">
        <fgColor rgb="00F4C95D"/>
      </patternFill>
    </fill>
    <fill>
      <patternFill patternType="solid">
        <fgColor rgb="00B7B7A4"/>
      </patternFill>
    </fill>
    <fill>
      <patternFill patternType="solid">
        <fgColor rgb="00D787B0"/>
      </patternFill>
    </fill>
    <fill>
      <patternFill patternType="solid">
        <fgColor rgb="0080B56A"/>
      </patternFill>
    </fill>
    <fill>
      <patternFill patternType="solid">
        <fgColor rgb="00C6C6B4"/>
      </patternFill>
    </fill>
    <fill>
      <patternFill patternType="solid">
        <fgColor rgb="00D98AB3"/>
      </patternFill>
    </fill>
    <fill>
      <patternFill patternType="solid">
        <fgColor rgb="008BC478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11" fillId="5" borderId="0" applyAlignment="1" pivotButton="0" quotePrefix="0" xfId="0">
      <alignment wrapText="1"/>
    </xf>
    <xf numFmtId="0" fontId="11" fillId="6" borderId="0" applyAlignment="1" pivotButton="0" quotePrefix="0" xfId="0">
      <alignment wrapText="1"/>
    </xf>
    <xf numFmtId="0" fontId="11" fillId="7" borderId="0" applyAlignment="1" pivotButton="0" quotePrefix="0" xfId="0">
      <alignment wrapText="1"/>
    </xf>
    <xf numFmtId="0" fontId="11" fillId="8" borderId="0" applyAlignment="1" pivotButton="0" quotePrefix="0" xfId="0">
      <alignment wrapText="1"/>
    </xf>
    <xf numFmtId="0" fontId="4" fillId="3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wrapText="1"/>
    </xf>
    <xf numFmtId="0" fontId="12" fillId="9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335C6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D2235"/>
      <rgbColor rgb="FFF8EEDC"/>
      <rgbColor rgb="FFD9E2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1495B"/>
      <rgbColor rgb="FF4F81BD"/>
      <rgbColor rgb="FF969696"/>
      <rgbColor rgb="FF003366"/>
      <rgbColor rgb="FF339966"/>
      <rgbColor rgb="FF003300"/>
      <rgbColor rgb="FF333300"/>
      <rgbColor rgb="FF7A1F2B"/>
      <rgbColor rgb="FFC0504D"/>
      <rgbColor rgb="FF335C6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MENU ENGINEERING MATRIX</a:t>
            </a:r>
          </a:p>
        </rich>
      </tx>
    </title>
    <plotArea>
      <scatterChart>
        <ser>
          <idx val="0"/>
          <order val="0"/>
          <tx>
            <v>Charred Carrot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E66A32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Matrix'!$C$6</f>
            </numRef>
          </xVal>
          <yVal>
            <numRef>
              <f>'Menu Matrix'!$D$6</f>
            </numRef>
          </yVal>
        </ser>
        <ser>
          <idx val="1"/>
          <order val="1"/>
          <tx>
            <v>Lamb Flatbread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D9485F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Matrix'!$C$7</f>
            </numRef>
          </xVal>
          <yVal>
            <numRef>
              <f>'Menu Matrix'!$D$7</f>
            </numRef>
          </yVal>
        </ser>
        <ser>
          <idx val="2"/>
          <order val="2"/>
          <tx>
            <v>Citrus Cod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F1B24A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Matrix'!$C$8</f>
            </numRef>
          </xVal>
          <yVal>
            <numRef>
              <f>'Menu Matrix'!$D$8</f>
            </numRef>
          </yVal>
        </ser>
        <ser>
          <idx val="3"/>
          <order val="3"/>
          <tx>
            <v>Miso Potatoes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6A994E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Matrix'!$C$9</f>
            </numRef>
          </xVal>
          <yVal>
            <numRef>
              <f>'Menu Matrix'!$D$9</f>
            </numRef>
          </yVal>
        </ser>
        <ser>
          <idx val="4"/>
          <order val="4"/>
          <tx>
            <v>Duck Ragu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457B9D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Matrix'!$C$10</f>
            </numRef>
          </xVal>
          <yVal>
            <numRef>
              <f>'Menu Matrix'!$D$10</f>
            </numRef>
          </yVal>
        </ser>
        <ser>
          <idx val="5"/>
          <order val="5"/>
          <tx>
            <v>Market Tart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B565A7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Matrix'!$C$11</f>
            </numRef>
          </xVal>
          <yVal>
            <numRef>
              <f>'Menu Matrix'!$D$11</f>
            </numRef>
          </yVal>
        </ser>
        <ser>
          <idx val="6"/>
          <order val="6"/>
          <tx>
            <v>Steak Frites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8C5A3C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Matrix'!$C$12</f>
            </numRef>
          </xVal>
          <yVal>
            <numRef>
              <f>'Menu Matrix'!$D$12</f>
            </numRef>
          </yVal>
        </ser>
        <ser>
          <idx val="7"/>
          <order val="7"/>
          <tx>
            <v>Herb Gnocchi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7A7A7A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'Menu Matrix'!$C$13</f>
            </numRef>
          </xVal>
          <yVal>
            <numRef>
              <f>'Menu Matrix'!$D$13</f>
            </numRef>
          </yVal>
        </ser>
        <axId val="10"/>
        <axId val="20"/>
      </scatterChart>
      <valAx>
        <axId val="10"/>
        <scaling>
          <orientation val="minMax"/>
          <max val="10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Popularity (% of sales mix)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50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Contribution margin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DejaVu Sans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Sales Mix by Dish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'Sales Mix'!B2</f>
              <strCache>
                <ptCount val="1"/>
                <pt idx="0">
                  <v>Covers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'Sales Mix'!$A$3:$A$10</f>
              <strCache>
                <ptCount val="8"/>
                <pt idx="0">
                  <v>Charred Carrot</v>
                </pt>
                <pt idx="1">
                  <v>Lamb Flatbread</v>
                </pt>
                <pt idx="2">
                  <v>Citrus Cod</v>
                </pt>
                <pt idx="3">
                  <v>Miso Potatoes</v>
                </pt>
                <pt idx="4">
                  <v>Duck Ragu</v>
                </pt>
                <pt idx="5">
                  <v>Market Tart</v>
                </pt>
                <pt idx="6">
                  <v>Steak Frites</v>
                </pt>
                <pt idx="7">
                  <v>Herb Gnocchi</v>
                </pt>
              </strCache>
            </strRef>
          </cat>
          <val>
            <numRef>
              <f>'Sales Mix'!$B$3:$B$10</f>
              <numCache>
                <formatCode>General</formatCode>
                <ptCount val="8"/>
                <pt idx="0">
                  <v>176</v>
                </pt>
                <pt idx="1">
                  <v>272</v>
                </pt>
                <pt idx="2">
                  <v>128</v>
                </pt>
                <pt idx="3">
                  <v>288</v>
                </pt>
                <pt idx="4">
                  <v>100</v>
                </pt>
                <pt idx="5">
                  <v>160</v>
                </pt>
                <pt idx="6">
                  <v>232</v>
                </pt>
                <pt idx="7">
                  <v>80</v>
                </pt>
              </numCache>
            </numRef>
          </val>
        </ser>
        <ser>
          <idx val="1"/>
          <order val="1"/>
          <tx>
            <strRef>
              <f>'Sales Mix'!C2</f>
              <strCache>
                <ptCount val="1"/>
                <pt idx="0">
                  <v>Revenue</v>
                </pt>
              </strCache>
            </strRef>
          </tx>
          <spPr>
            <a:solidFill>
              <a:srgbClr val="c0504d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DejaVu Sans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'Sales Mix'!$A$3:$A$10</f>
              <strCache>
                <ptCount val="8"/>
                <pt idx="0">
                  <v>Charred Carrot</v>
                </pt>
                <pt idx="1">
                  <v>Lamb Flatbread</v>
                </pt>
                <pt idx="2">
                  <v>Citrus Cod</v>
                </pt>
                <pt idx="3">
                  <v>Miso Potatoes</v>
                </pt>
                <pt idx="4">
                  <v>Duck Ragu</v>
                </pt>
                <pt idx="5">
                  <v>Market Tart</v>
                </pt>
                <pt idx="6">
                  <v>Steak Frites</v>
                </pt>
                <pt idx="7">
                  <v>Herb Gnocchi</v>
                </pt>
              </strCache>
            </strRef>
          </cat>
          <val>
            <numRef>
              <f>'Sales Mix'!$C$3:$C$10</f>
              <numCache>
                <formatCode>General</formatCode>
                <ptCount val="8"/>
                <pt idx="0">
                  <v>7920</v>
                </pt>
                <pt idx="1">
                  <v>19040</v>
                </pt>
                <pt idx="2">
                  <v>9920</v>
                </pt>
                <pt idx="3">
                  <v>11520</v>
                </pt>
                <pt idx="4">
                  <v>8500</v>
                </pt>
                <pt idx="5">
                  <v>8800</v>
                </pt>
                <pt idx="6">
                  <v>22620</v>
                </pt>
                <pt idx="7">
                  <v>3800</v>
                </pt>
              </numCache>
            </numRef>
          </val>
        </ser>
        <gapWidth val="150"/>
        <overlap val="0"/>
        <axId val="15755035"/>
        <axId val="12215271"/>
      </barChart>
      <catAx>
        <axId val="15755035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2215271"/>
        <crosses val="autoZero"/>
        <auto val="1"/>
        <lblAlgn val="ctr"/>
        <lblOffset val="100"/>
        <noMultiLvlLbl val="0"/>
      </catAx>
      <valAx>
        <axId val="1221527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5755035"/>
        <crosses val="autoZero"/>
        <crossBetween val="between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</row>
      <rowOff>0</rowOff>
    </from>
    <ext cx="864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1</row>
      <rowOff>0</rowOff>
    </from>
    <to>
      <col>7</col>
      <colOff>851760</colOff>
      <row>9</row>
      <rowOff>25200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RecipeCosting21" displayName="TRecipeCosting21" ref="A2:F10" headerRowCount="1" totalsRowCount="0" totalsRowShown="0">
  <autoFilter ref="A2:F10"/>
  <tableColumns count="6">
    <tableColumn id="1" name="Dish"/>
    <tableColumn id="2" name="Menu Price"/>
    <tableColumn id="3" name="Ingredient Cost"/>
    <tableColumn id="4" name="Food Cost %"/>
    <tableColumn id="5" name="Contribution Margin"/>
    <tableColumn id="6" name="Recommended Action"/>
  </tableColumns>
</table>
</file>

<file path=xl/tables/table2.xml><?xml version="1.0" encoding="utf-8"?>
<table xmlns="http://schemas.openxmlformats.org/spreadsheetml/2006/main" id="2" name="TSalesMix21" displayName="TSalesMix21" ref="A2:C10" headerRowCount="1" totalsRowCount="0" totalsRowShown="0">
  <autoFilter ref="A2:C10"/>
  <tableColumns count="3">
    <tableColumn id="1" name="Dish"/>
    <tableColumn id="2" name="Covers"/>
    <tableColumn id="3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 filterMode="0">
    <tabColor rgb="FF9D2235"/>
    <outlinePr summaryBelow="1" summaryRight="1"/>
    <pageSetUpPr fitToPage="1"/>
  </sheetPr>
  <dimension ref="A1:AD7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</row>
    <row r="2" ht="21" customHeight="1" s="9">
      <c r="A2" s="10" t="n"/>
      <c r="B2" s="11" t="inlineStr">
        <is>
          <t>Ember Table Menu Engineering Studio</t>
        </is>
      </c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</row>
    <row r="3" ht="21" customHeight="1" s="9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</row>
    <row r="4" ht="21" customHeight="1" s="9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</row>
    <row r="5" ht="21" customHeight="1" s="9">
      <c r="A5" s="10" t="n"/>
      <c r="B5" s="10" t="inlineStr">
        <is>
          <t>Item</t>
        </is>
      </c>
      <c r="C5" s="10" t="inlineStr">
        <is>
          <t>Popularity</t>
        </is>
      </c>
      <c r="D5" s="10" t="inlineStr">
        <is>
          <t>Contribution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</row>
    <row r="6" ht="21" customHeight="1" s="9">
      <c r="A6" s="10" t="n"/>
      <c r="B6" s="10" t="inlineStr">
        <is>
          <t>Charred Carrot</t>
        </is>
      </c>
      <c r="C6" s="10" t="n">
        <v>44</v>
      </c>
      <c r="D6" s="10" t="n">
        <v>18</v>
      </c>
      <c r="E6" s="10" t="n"/>
      <c r="F6" s="10" t="n"/>
      <c r="G6" s="10" t="n">
        <v>50</v>
      </c>
      <c r="H6" s="10" t="n">
        <v>10</v>
      </c>
      <c r="I6" s="10" t="n"/>
      <c r="J6" s="10" t="n">
        <v>10</v>
      </c>
      <c r="K6" s="10" t="n">
        <v>25</v>
      </c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</row>
    <row r="7" ht="21" customHeight="1" s="9">
      <c r="A7" s="10" t="n"/>
      <c r="B7" s="10" t="inlineStr">
        <is>
          <t>Lamb Flatbread</t>
        </is>
      </c>
      <c r="C7" s="10" t="n">
        <v>68</v>
      </c>
      <c r="D7" s="10" t="n">
        <v>28</v>
      </c>
      <c r="E7" s="10" t="n"/>
      <c r="F7" s="10" t="n"/>
      <c r="G7" s="10" t="n">
        <v>50</v>
      </c>
      <c r="H7" s="10" t="n">
        <v>42</v>
      </c>
      <c r="I7" s="10" t="n"/>
      <c r="J7" s="10" t="n">
        <v>80</v>
      </c>
      <c r="K7" s="10" t="n">
        <v>25</v>
      </c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</row>
    <row r="8" ht="21" customHeight="1" s="9">
      <c r="A8" s="10" t="n"/>
      <c r="B8" s="10" t="inlineStr">
        <is>
          <t>Citrus Cod</t>
        </is>
      </c>
      <c r="C8" s="10" t="n">
        <v>32</v>
      </c>
      <c r="D8" s="10" t="n">
        <v>31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</row>
    <row r="9" ht="21" customHeight="1" s="9">
      <c r="A9" s="10" t="n"/>
      <c r="B9" s="10" t="inlineStr">
        <is>
          <t>Miso Potatoes</t>
        </is>
      </c>
      <c r="C9" s="10" t="n">
        <v>72</v>
      </c>
      <c r="D9" s="10" t="n">
        <v>16</v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21" customHeight="1" s="9">
      <c r="A10" s="10" t="n"/>
      <c r="B10" s="10" t="inlineStr">
        <is>
          <t>Duck Ragu</t>
        </is>
      </c>
      <c r="C10" s="10" t="n">
        <v>25</v>
      </c>
      <c r="D10" s="10" t="n">
        <v>34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</row>
    <row r="11" ht="21" customHeight="1" s="9">
      <c r="A11" s="10" t="n"/>
      <c r="B11" s="10" t="inlineStr">
        <is>
          <t>Market Tart</t>
        </is>
      </c>
      <c r="C11" s="10" t="n">
        <v>40</v>
      </c>
      <c r="D11" s="10" t="n">
        <v>22</v>
      </c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21" customHeight="1" s="9">
      <c r="A12" s="10" t="n"/>
      <c r="B12" s="10" t="inlineStr">
        <is>
          <t>Steak Frites</t>
        </is>
      </c>
      <c r="C12" s="10" t="n">
        <v>58</v>
      </c>
      <c r="D12" s="10" t="n">
        <v>39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</row>
    <row r="13" ht="21" customHeight="1" s="9">
      <c r="A13" s="10" t="n"/>
      <c r="B13" s="10" t="inlineStr">
        <is>
          <t>Herb Gnocchi</t>
        </is>
      </c>
      <c r="C13" s="10" t="n">
        <v>20</v>
      </c>
      <c r="D13" s="10" t="n">
        <v>19</v>
      </c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</row>
    <row r="14" ht="21" customHeight="1" s="9">
      <c r="A14" s="10" t="n"/>
      <c r="B14" s="20" t="n"/>
      <c r="C14" s="21" t="n"/>
      <c r="D14" s="21" t="n"/>
      <c r="E14" s="21" t="n"/>
      <c r="F14" s="10" t="n"/>
      <c r="G14" s="10" t="n"/>
      <c r="H14" s="12" t="inlineStr">
        <is>
          <t>STARS</t>
        </is>
      </c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</row>
    <row r="15" ht="21" customHeight="1" s="9">
      <c r="A15" s="10" t="n"/>
      <c r="B15" s="22" t="inlineStr">
        <is>
          <t>PLOWHORSES
Popular · lower margin</t>
        </is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</row>
    <row r="16" ht="21" customHeight="1" s="9">
      <c r="A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</row>
    <row r="17" ht="21" customHeight="1" s="9">
      <c r="A17" s="10" t="n"/>
      <c r="B17" s="23" t="n"/>
      <c r="C17" s="21" t="n"/>
      <c r="D17" s="21" t="n"/>
      <c r="E17" s="21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</row>
    <row r="18" ht="21" customHeight="1" s="9">
      <c r="A18" s="10" t="n"/>
      <c r="B18" s="24" t="inlineStr">
        <is>
          <t>DOGS
Lower popularity · lower margin</t>
        </is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</row>
    <row r="19" ht="21" customHeight="1" s="9">
      <c r="A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</row>
    <row r="20" ht="21" customHeight="1" s="9">
      <c r="A20" s="10" t="n"/>
      <c r="B20" s="21" t="n"/>
      <c r="C20" s="21" t="n"/>
      <c r="D20" s="21" t="n"/>
      <c r="E20" s="21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</row>
    <row r="21" ht="21" customHeight="1" s="9">
      <c r="A21" s="10" t="n"/>
      <c r="B21" s="25" t="inlineStr">
        <is>
          <t>PUZZLES
Lower popularity · higher margin</t>
        </is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</row>
    <row r="22" ht="21" customHeight="1" s="9">
      <c r="A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</row>
    <row r="23" ht="21" customHeight="1" s="9">
      <c r="A23" s="10" t="n"/>
      <c r="B23" s="21" t="n"/>
      <c r="C23" s="21" t="n"/>
      <c r="D23" s="21" t="n"/>
      <c r="E23" s="21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</row>
    <row r="24" ht="21" customHeight="1" s="9">
      <c r="A24" s="10" t="n"/>
      <c r="B24" s="26" t="inlineStr">
        <is>
          <t>STARS
Popular · higher margin</t>
        </is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</row>
    <row r="25" ht="21" customHeight="1" s="9">
      <c r="A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</row>
    <row r="26" ht="21" customHeight="1" s="9">
      <c r="A26" s="10" t="n"/>
      <c r="B26" s="21" t="n"/>
      <c r="C26" s="21" t="n"/>
      <c r="D26" s="21" t="n"/>
      <c r="E26" s="21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</row>
    <row r="27" ht="21" customHeight="1" s="9">
      <c r="A27" s="10" t="n"/>
      <c r="B27" s="21" t="n"/>
      <c r="C27" s="21" t="n"/>
      <c r="D27" s="21" t="n"/>
      <c r="E27" s="21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</row>
    <row r="28" ht="21" customHeight="1" s="9">
      <c r="A28" s="10" t="n"/>
      <c r="B28" s="21" t="n"/>
      <c r="C28" s="21" t="n"/>
      <c r="D28" s="21" t="n"/>
      <c r="E28" s="21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</row>
    <row r="29" ht="21" customHeight="1" s="9">
      <c r="A29" s="10" t="n"/>
      <c r="B29" s="21" t="n"/>
      <c r="C29" s="21" t="n"/>
      <c r="D29" s="21" t="n"/>
      <c r="E29" s="21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</row>
    <row r="30" ht="21" customHeight="1" s="9">
      <c r="A30" s="10" t="n"/>
      <c r="B30" s="21" t="n"/>
      <c r="C30" s="21" t="n"/>
      <c r="D30" s="21" t="n"/>
      <c r="E30" s="21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</row>
    <row r="31" ht="21" customHeight="1" s="9">
      <c r="A31" s="10" t="n"/>
      <c r="B31" s="20" t="n"/>
      <c r="C31" s="21" t="n"/>
      <c r="D31" s="21" t="n"/>
      <c r="E31" s="21" t="n"/>
      <c r="F31" s="10" t="n"/>
      <c r="G31" s="10" t="n"/>
      <c r="H31" s="12" t="inlineStr">
        <is>
          <t>PUZZLES</t>
        </is>
      </c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</row>
    <row r="32" ht="21" customHeight="1" s="9">
      <c r="A32" s="10" t="n"/>
      <c r="B32" s="21" t="n"/>
      <c r="C32" s="21" t="n"/>
      <c r="D32" s="21" t="n"/>
      <c r="E32" s="21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</row>
    <row r="33" ht="21" customHeight="1" s="9">
      <c r="A33" s="10" t="n"/>
      <c r="B33" s="21" t="n"/>
      <c r="C33" s="21" t="n"/>
      <c r="D33" s="21" t="n"/>
      <c r="E33" s="21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21" customHeight="1" s="9">
      <c r="A34" s="10" t="n"/>
      <c r="B34" s="21" t="n"/>
      <c r="C34" s="21" t="n"/>
      <c r="D34" s="21" t="n"/>
      <c r="E34" s="21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</row>
    <row r="35" ht="21" customHeight="1" s="9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21" customHeight="1" s="9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</row>
    <row r="37" ht="21" customHeight="1" s="9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</row>
    <row r="38" ht="21" customHeight="1" s="9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</row>
    <row r="39" ht="21" customHeight="1" s="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21" customHeight="1" s="9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</row>
    <row r="41" ht="21" customHeight="1" s="9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</row>
    <row r="42" ht="21" customHeight="1" s="9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</row>
    <row r="43" ht="21" customHeight="1" s="9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</row>
    <row r="44" ht="21" customHeight="1" s="9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</row>
    <row r="45" ht="21" customHeight="1" s="9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</row>
    <row r="46" ht="21" customHeight="1" s="9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</row>
    <row r="47" ht="21" customHeight="1" s="9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</row>
    <row r="48" ht="21" customHeight="1" s="9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</row>
    <row r="49" ht="21" customHeight="1" s="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</row>
    <row r="50" ht="21" customHeight="1" s="9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</row>
    <row r="51" ht="21" customHeight="1" s="9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</row>
    <row r="52" ht="21" customHeight="1" s="9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</row>
    <row r="53" ht="21" customHeight="1" s="9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</row>
    <row r="54" ht="21" customHeight="1" s="9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</row>
    <row r="55" ht="21" customHeight="1" s="9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</row>
    <row r="56" ht="21" customHeight="1" s="9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</row>
    <row r="57" ht="21" customHeight="1" s="9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</row>
    <row r="58" ht="21" customHeight="1" s="9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</row>
    <row r="59" ht="21" customHeight="1" s="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</row>
    <row r="60" ht="21" customHeight="1" s="9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  <c r="AC60" s="10" t="n"/>
      <c r="AD60" s="10" t="n"/>
    </row>
    <row r="61" ht="21" customHeight="1" s="9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</row>
    <row r="62" ht="21" customHeight="1" s="9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  <c r="AC62" s="10" t="n"/>
      <c r="AD62" s="10" t="n"/>
    </row>
    <row r="63" ht="21" customHeight="1" s="9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</row>
    <row r="64" ht="21" customHeight="1" s="9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  <c r="AC64" s="10" t="n"/>
      <c r="AD64" s="10" t="n"/>
    </row>
    <row r="65" ht="21" customHeight="1" s="9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</row>
    <row r="66" ht="21" customHeight="1" s="9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  <c r="AC66" s="10" t="n"/>
      <c r="AD66" s="10" t="n"/>
    </row>
    <row r="67" ht="21" customHeight="1" s="9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</row>
    <row r="68" ht="21" customHeight="1" s="9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  <c r="AC68" s="10" t="n"/>
      <c r="AD68" s="10" t="n"/>
    </row>
    <row r="69" ht="21" customHeight="1" s="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</row>
    <row r="70" ht="21" customHeight="1" s="9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  <c r="AC70" s="10" t="n"/>
      <c r="AD70" s="10" t="n"/>
    </row>
  </sheetData>
  <mergeCells count="5">
    <mergeCell ref="B15:E16"/>
    <mergeCell ref="B18:E19"/>
    <mergeCell ref="B21:E22"/>
    <mergeCell ref="B2:J2"/>
    <mergeCell ref="B24:E25"/>
  </mergeCells>
  <printOptions horizontalCentered="0" verticalCentered="0" headings="0" gridLines="0" gridLinesSet="1"/>
  <pageMargins left="0.2" right="0.2" top="0.25" bottom="0.25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D1495B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</row>
    <row r="2" ht="21" customHeight="1" s="9">
      <c r="A2" s="18" t="inlineStr">
        <is>
          <t>Dish</t>
        </is>
      </c>
      <c r="B2" s="18" t="inlineStr">
        <is>
          <t>Menu Price</t>
        </is>
      </c>
      <c r="C2" s="18" t="inlineStr">
        <is>
          <t>Ingredient Cost</t>
        </is>
      </c>
      <c r="D2" s="18" t="inlineStr">
        <is>
          <t>Food Cost %</t>
        </is>
      </c>
      <c r="E2" s="18" t="inlineStr">
        <is>
          <t>Contribution Margin</t>
        </is>
      </c>
      <c r="F2" s="18" t="inlineStr">
        <is>
          <t>Recommended Action</t>
        </is>
      </c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</row>
    <row r="3" ht="21" customHeight="1" s="9">
      <c r="A3" s="19" t="inlineStr">
        <is>
          <t>Charred Carrot</t>
        </is>
      </c>
      <c r="B3" s="19" t="n">
        <v>45</v>
      </c>
      <c r="C3" s="19" t="n">
        <v>7.56</v>
      </c>
      <c r="D3" s="19">
        <f>C3/B3</f>
        <v/>
      </c>
      <c r="E3" s="19">
        <f>B3-C3</f>
        <v/>
      </c>
      <c r="F3" s="19">
        <f>IF(D3&gt;0.35,"Reprice",IF(E3&gt;45,"Feature","Monitor"))</f>
        <v/>
      </c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</row>
    <row r="4" ht="21" customHeight="1" s="9">
      <c r="A4" s="19" t="inlineStr">
        <is>
          <t>Lamb Flatbread</t>
        </is>
      </c>
      <c r="B4" s="19" t="n">
        <v>70</v>
      </c>
      <c r="C4" s="19" t="n">
        <v>11.76</v>
      </c>
      <c r="D4" s="19">
        <f>C4/B4</f>
        <v/>
      </c>
      <c r="E4" s="19">
        <f>B4-C4</f>
        <v/>
      </c>
      <c r="F4" s="19">
        <f>IF(D4&gt;0.35,"Reprice",IF(E4&gt;45,"Feature","Monitor"))</f>
        <v/>
      </c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</row>
    <row r="5" ht="21" customHeight="1" s="9">
      <c r="A5" s="19" t="inlineStr">
        <is>
          <t>Citrus Cod</t>
        </is>
      </c>
      <c r="B5" s="19" t="n">
        <v>77.5</v>
      </c>
      <c r="C5" s="19" t="n">
        <v>13.02</v>
      </c>
      <c r="D5" s="19">
        <f>C5/B5</f>
        <v/>
      </c>
      <c r="E5" s="19">
        <f>B5-C5</f>
        <v/>
      </c>
      <c r="F5" s="19">
        <f>IF(D5&gt;0.35,"Reprice",IF(E5&gt;45,"Feature","Monitor"))</f>
        <v/>
      </c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 ht="21" customHeight="1" s="9">
      <c r="A6" s="19" t="inlineStr">
        <is>
          <t>Miso Potatoes</t>
        </is>
      </c>
      <c r="B6" s="19" t="n">
        <v>40</v>
      </c>
      <c r="C6" s="19" t="n">
        <v>6.72</v>
      </c>
      <c r="D6" s="19">
        <f>C6/B6</f>
        <v/>
      </c>
      <c r="E6" s="19">
        <f>B6-C6</f>
        <v/>
      </c>
      <c r="F6" s="19">
        <f>IF(D6&gt;0.35,"Reprice",IF(E6&gt;45,"Feature","Monitor"))</f>
        <v/>
      </c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 ht="21" customHeight="1" s="9">
      <c r="A7" s="19" t="inlineStr">
        <is>
          <t>Duck Ragu</t>
        </is>
      </c>
      <c r="B7" s="19" t="n">
        <v>85</v>
      </c>
      <c r="C7" s="19" t="n">
        <v>14.28</v>
      </c>
      <c r="D7" s="19">
        <f>C7/B7</f>
        <v/>
      </c>
      <c r="E7" s="19">
        <f>B7-C7</f>
        <v/>
      </c>
      <c r="F7" s="19">
        <f>IF(D7&gt;0.35,"Reprice",IF(E7&gt;45,"Feature","Monitor"))</f>
        <v/>
      </c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 ht="21" customHeight="1" s="9">
      <c r="A8" s="19" t="inlineStr">
        <is>
          <t>Market Tart</t>
        </is>
      </c>
      <c r="B8" s="19" t="n">
        <v>55</v>
      </c>
      <c r="C8" s="19" t="n">
        <v>9.24</v>
      </c>
      <c r="D8" s="19">
        <f>C8/B8</f>
        <v/>
      </c>
      <c r="E8" s="19">
        <f>B8-C8</f>
        <v/>
      </c>
      <c r="F8" s="19">
        <f>IF(D8&gt;0.35,"Reprice",IF(E8&gt;45,"Feature","Monitor"))</f>
        <v/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 ht="21" customHeight="1" s="9">
      <c r="A9" s="19" t="inlineStr">
        <is>
          <t>Steak Frites</t>
        </is>
      </c>
      <c r="B9" s="19" t="n">
        <v>97.5</v>
      </c>
      <c r="C9" s="19" t="n">
        <v>16.38</v>
      </c>
      <c r="D9" s="19">
        <f>C9/B9</f>
        <v/>
      </c>
      <c r="E9" s="19">
        <f>B9-C9</f>
        <v/>
      </c>
      <c r="F9" s="19">
        <f>IF(D9&gt;0.35,"Reprice",IF(E9&gt;45,"Feature","Monitor"))</f>
        <v/>
      </c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 ht="21" customHeight="1" s="9">
      <c r="A10" s="19" t="inlineStr">
        <is>
          <t>Herb Gnocchi</t>
        </is>
      </c>
      <c r="B10" s="19" t="n">
        <v>47.5</v>
      </c>
      <c r="C10" s="19" t="n">
        <v>7.98</v>
      </c>
      <c r="D10" s="19">
        <f>C10/B10</f>
        <v/>
      </c>
      <c r="E10" s="19">
        <f>B10-C10</f>
        <v/>
      </c>
      <c r="F10" s="19">
        <f>IF(D10&gt;0.35,"Reprice",IF(E10&gt;45,"Feature","Monitor"))</f>
        <v/>
      </c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 ht="21" customHeight="1" s="9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 ht="21" customHeight="1" s="9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 ht="21" customHeight="1" s="9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 ht="21" customHeight="1" s="9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 ht="21" customHeight="1" s="9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 ht="21" customHeight="1" s="9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 ht="21" customHeight="1" s="9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 ht="21" customHeight="1" s="9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 ht="21" customHeight="1" s="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 ht="21" customHeight="1" s="9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 ht="21" customHeight="1" s="9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 ht="21" customHeight="1" s="9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 ht="21" customHeight="1" s="9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</row>
    <row r="24" ht="21" customHeight="1" s="9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</row>
    <row r="25" ht="21" customHeight="1" s="9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</row>
    <row r="26" ht="21" customHeight="1" s="9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 ht="21" customHeight="1" s="9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</row>
    <row r="28" ht="21" customHeight="1" s="9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</row>
    <row r="29" ht="21" customHeight="1" s="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</row>
    <row r="30" ht="21" customHeight="1" s="9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</row>
    <row r="31" ht="21" customHeight="1" s="9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</row>
    <row r="32" ht="21" customHeight="1" s="9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</row>
    <row r="33" ht="21" customHeight="1" s="9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</row>
    <row r="34" ht="21" customHeight="1" s="9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</row>
    <row r="35" ht="21" customHeight="1" s="9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</row>
    <row r="36" ht="21" customHeight="1" s="9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</row>
    <row r="37" ht="21" customHeight="1" s="9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</row>
    <row r="38" ht="21" customHeight="1" s="9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</row>
    <row r="39" ht="21" customHeight="1" s="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 ht="21" customHeight="1" s="9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</row>
    <row r="41" ht="21" customHeight="1" s="9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</row>
    <row r="42" ht="21" customHeight="1" s="9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</row>
    <row r="43" ht="21" customHeight="1" s="9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</row>
    <row r="44" ht="21" customHeight="1" s="9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 ht="21" customHeight="1" s="9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</row>
    <row r="46" ht="21" customHeight="1" s="9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</row>
    <row r="47" ht="21" customHeight="1" s="9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</row>
    <row r="48" ht="21" customHeight="1" s="9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</row>
    <row r="49" ht="21" customHeight="1" s="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 ht="21" customHeight="1" s="9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</row>
    <row r="51" ht="21" customHeight="1" s="9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</row>
    <row r="52" ht="21" customHeight="1" s="9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</row>
    <row r="53" ht="21" customHeight="1" s="9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</row>
    <row r="54" ht="21" customHeight="1" s="9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</row>
    <row r="55" ht="21" customHeight="1" s="9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</row>
    <row r="56" ht="21" customHeight="1" s="9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</row>
    <row r="57" ht="21" customHeight="1" s="9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</row>
    <row r="58" ht="21" customHeight="1" s="9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</row>
    <row r="59" ht="21" customHeight="1" s="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</row>
    <row r="60" ht="21" customHeight="1" s="9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</row>
    <row r="61" ht="21" customHeight="1" s="9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</row>
    <row r="62" ht="21" customHeight="1" s="9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</row>
    <row r="63" ht="21" customHeight="1" s="9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</row>
    <row r="64" ht="21" customHeight="1" s="9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</row>
    <row r="65" ht="21" customHeight="1" s="9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</row>
    <row r="66" ht="21" customHeight="1" s="9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</row>
    <row r="67" ht="21" customHeight="1" s="9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</row>
    <row r="68" ht="21" customHeight="1" s="9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</row>
    <row r="69" ht="21" customHeight="1" s="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</row>
    <row r="70" ht="21" customHeight="1" s="9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</row>
  </sheetData>
  <autoFilter ref="A2:F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9D2235"/>
    <outlinePr summaryBelow="1" summaryRight="1"/>
    <pageSetUpPr fitToPage="1"/>
  </sheetPr>
  <dimension ref="A1:AD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21" customHeight="1" zeroHeight="0" outlineLevelRow="0"/>
  <cols>
    <col width="13" customWidth="1" style="8" min="1" max="31"/>
  </cols>
  <sheetData>
    <row r="1" ht="21" customHeight="1" s="9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17" t="n"/>
      <c r="X1" s="17" t="n"/>
      <c r="Y1" s="17" t="n"/>
      <c r="Z1" s="17" t="n"/>
      <c r="AA1" s="17" t="n"/>
      <c r="AB1" s="17" t="n"/>
      <c r="AC1" s="17" t="n"/>
      <c r="AD1" s="17" t="n"/>
    </row>
    <row r="2" ht="21" customHeight="1" s="9">
      <c r="A2" s="18" t="inlineStr">
        <is>
          <t>Dish</t>
        </is>
      </c>
      <c r="B2" s="18" t="inlineStr">
        <is>
          <t>Covers</t>
        </is>
      </c>
      <c r="C2" s="18" t="inlineStr">
        <is>
          <t>Revenue</t>
        </is>
      </c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</row>
    <row r="3" ht="21" customHeight="1" s="9">
      <c r="A3" s="19" t="inlineStr">
        <is>
          <t>Charred Carrot</t>
        </is>
      </c>
      <c r="B3" s="19" t="n">
        <v>176</v>
      </c>
      <c r="C3" s="19">
        <f>B3*INDEX('Recipe Costing'!B:B,MATCH(A3,'Recipe Costing'!A:A,0))</f>
        <v/>
      </c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</row>
    <row r="4" ht="21" customHeight="1" s="9">
      <c r="A4" s="19" t="inlineStr">
        <is>
          <t>Lamb Flatbread</t>
        </is>
      </c>
      <c r="B4" s="19" t="n">
        <v>272</v>
      </c>
      <c r="C4" s="19">
        <f>B4*INDEX('Recipe Costing'!B:B,MATCH(A4,'Recipe Costing'!A:A,0))</f>
        <v/>
      </c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</row>
    <row r="5" ht="21" customHeight="1" s="9">
      <c r="A5" s="19" t="inlineStr">
        <is>
          <t>Citrus Cod</t>
        </is>
      </c>
      <c r="B5" s="19" t="n">
        <v>128</v>
      </c>
      <c r="C5" s="19">
        <f>B5*INDEX('Recipe Costing'!B:B,MATCH(A5,'Recipe Costing'!A:A,0))</f>
        <v/>
      </c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</row>
    <row r="6" ht="21" customHeight="1" s="9">
      <c r="A6" s="19" t="inlineStr">
        <is>
          <t>Miso Potatoes</t>
        </is>
      </c>
      <c r="B6" s="19" t="n">
        <v>288</v>
      </c>
      <c r="C6" s="19">
        <f>B6*INDEX('Recipe Costing'!B:B,MATCH(A6,'Recipe Costing'!A:A,0))</f>
        <v/>
      </c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</row>
    <row r="7" ht="21" customHeight="1" s="9">
      <c r="A7" s="19" t="inlineStr">
        <is>
          <t>Duck Ragu</t>
        </is>
      </c>
      <c r="B7" s="19" t="n">
        <v>100</v>
      </c>
      <c r="C7" s="19">
        <f>B7*INDEX('Recipe Costing'!B:B,MATCH(A7,'Recipe Costing'!A:A,0))</f>
        <v/>
      </c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</row>
    <row r="8" ht="21" customHeight="1" s="9">
      <c r="A8" s="19" t="inlineStr">
        <is>
          <t>Market Tart</t>
        </is>
      </c>
      <c r="B8" s="19" t="n">
        <v>160</v>
      </c>
      <c r="C8" s="19">
        <f>B8*INDEX('Recipe Costing'!B:B,MATCH(A8,'Recipe Costing'!A:A,0))</f>
        <v/>
      </c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</row>
    <row r="9" ht="21" customHeight="1" s="9">
      <c r="A9" s="19" t="inlineStr">
        <is>
          <t>Steak Frites</t>
        </is>
      </c>
      <c r="B9" s="19" t="n">
        <v>232</v>
      </c>
      <c r="C9" s="19">
        <f>B9*INDEX('Recipe Costing'!B:B,MATCH(A9,'Recipe Costing'!A:A,0))</f>
        <v/>
      </c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</row>
    <row r="10" ht="21" customHeight="1" s="9">
      <c r="A10" s="19" t="inlineStr">
        <is>
          <t>Herb Gnocchi</t>
        </is>
      </c>
      <c r="B10" s="19" t="n">
        <v>80</v>
      </c>
      <c r="C10" s="19">
        <f>B10*INDEX('Recipe Costing'!B:B,MATCH(A10,'Recipe Costing'!A:A,0))</f>
        <v/>
      </c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</row>
    <row r="11" ht="21" customHeight="1" s="9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</row>
    <row r="12" ht="21" customHeight="1" s="9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</row>
    <row r="13" ht="21" customHeight="1" s="9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</row>
    <row r="14" ht="21" customHeight="1" s="9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</row>
    <row r="15" ht="21" customHeight="1" s="9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</row>
    <row r="16" ht="21" customHeight="1" s="9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</row>
    <row r="17" ht="21" customHeight="1" s="9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</row>
    <row r="18" ht="21" customHeight="1" s="9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</row>
    <row r="19" ht="21" customHeight="1" s="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</row>
    <row r="20" ht="21" customHeight="1" s="9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</row>
    <row r="21" ht="21" customHeight="1" s="9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</row>
    <row r="22" ht="21" customHeight="1" s="9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</row>
    <row r="23" ht="21" customHeight="1" s="9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</row>
    <row r="24" ht="21" customHeight="1" s="9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</row>
    <row r="25" ht="21" customHeight="1" s="9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</row>
    <row r="26" ht="21" customHeight="1" s="9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</row>
    <row r="27" ht="21" customHeight="1" s="9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</row>
    <row r="28" ht="21" customHeight="1" s="9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</row>
    <row r="29" ht="21" customHeight="1" s="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</row>
    <row r="30" ht="21" customHeight="1" s="9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</row>
    <row r="31" ht="21" customHeight="1" s="9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</row>
    <row r="32" ht="21" customHeight="1" s="9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</row>
    <row r="33" ht="21" customHeight="1" s="9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</row>
    <row r="34" ht="21" customHeight="1" s="9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</row>
    <row r="35" ht="21" customHeight="1" s="9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</row>
    <row r="36" ht="21" customHeight="1" s="9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</row>
    <row r="37" ht="21" customHeight="1" s="9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</row>
    <row r="38" ht="21" customHeight="1" s="9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</row>
    <row r="39" ht="21" customHeight="1" s="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</row>
    <row r="40" ht="21" customHeight="1" s="9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</row>
    <row r="41" ht="21" customHeight="1" s="9">
      <c r="A41" s="17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</row>
    <row r="42" ht="21" customHeight="1" s="9">
      <c r="A42" s="17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</row>
    <row r="43" ht="21" customHeight="1" s="9">
      <c r="A43" s="17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</row>
    <row r="44" ht="21" customHeight="1" s="9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</row>
    <row r="45" ht="21" customHeight="1" s="9">
      <c r="A45" s="17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</row>
    <row r="46" ht="21" customHeight="1" s="9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</row>
    <row r="47" ht="21" customHeight="1" s="9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</row>
    <row r="48" ht="21" customHeight="1" s="9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</row>
    <row r="49" ht="21" customHeight="1" s="9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</row>
    <row r="50" ht="21" customHeight="1" s="9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</row>
    <row r="51" ht="21" customHeight="1" s="9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</row>
    <row r="52" ht="21" customHeight="1" s="9">
      <c r="A52" s="17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</row>
    <row r="53" ht="21" customHeight="1" s="9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</row>
    <row r="54" ht="21" customHeight="1" s="9">
      <c r="A54" s="17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</row>
    <row r="55" ht="21" customHeight="1" s="9">
      <c r="A55" s="17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</row>
    <row r="56" ht="21" customHeight="1" s="9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</row>
    <row r="57" ht="21" customHeight="1" s="9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</row>
    <row r="58" ht="21" customHeight="1" s="9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</row>
    <row r="59" ht="21" customHeight="1" s="9">
      <c r="A59" s="17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</row>
    <row r="60" ht="21" customHeight="1" s="9">
      <c r="A60" s="17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</row>
    <row r="61" ht="21" customHeight="1" s="9">
      <c r="A61" s="17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</row>
    <row r="62" ht="21" customHeight="1" s="9">
      <c r="A62" s="17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</row>
    <row r="63" ht="21" customHeight="1" s="9">
      <c r="A63" s="17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</row>
    <row r="64" ht="21" customHeight="1" s="9">
      <c r="A64" s="17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</row>
    <row r="65" ht="21" customHeight="1" s="9">
      <c r="A65" s="17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</row>
    <row r="66" ht="21" customHeight="1" s="9">
      <c r="A66" s="17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</row>
    <row r="67" ht="21" customHeight="1" s="9">
      <c r="A67" s="17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</row>
    <row r="68" ht="21" customHeight="1" s="9">
      <c r="A68" s="17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</row>
    <row r="69" ht="21" customHeight="1" s="9">
      <c r="A69" s="17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</row>
    <row r="70" ht="21" customHeight="1" s="9">
      <c r="A70" s="17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</row>
  </sheetData>
  <autoFilter ref="A2:C10"/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2026-08-10T09:58:17Z</dcterms:created>
  <dcterms:modified xsi:type="dcterms:W3CDTF">2026-08-10T10:41:48Z</dcterms:modified>
  <cp:revision>3</cp:revision>
</cp:coreProperties>
</file>