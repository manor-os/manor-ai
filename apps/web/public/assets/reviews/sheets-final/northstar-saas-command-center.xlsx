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mmand Center" sheetId="1" state="visible" r:id="rId1"/>
    <sheet name="Revenue Model" sheetId="2" state="visible" r:id="rId2"/>
    <sheet name="Cohorts" sheetId="3" state="visible" r:id="rId3"/>
    <sheet name="Assumptions" sheetId="4" state="visible" r:id="rId4"/>
  </sheets>
  <definedNames>
    <definedName name="_xlnm.Print_Area" localSheetId="0">'Command Center'!$B$2:$P$39</definedName>
    <definedName name="_xlnm._FilterDatabase" localSheetId="1" hidden="1">'Revenue Model'!$A$4:$G$16</definedName>
    <definedName name="_xlnm._FilterDatabase" localSheetId="3" hidden="1">'Assumptions'!$B$3:$E$7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yyyy\-mm\-dd"/>
    <numFmt numFmtId="167" formatCode="$#,##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E8FBFF"/>
      <sz val="22"/>
    </font>
    <font>
      <name val="Arial"/>
      <charset val="1"/>
      <family val="0"/>
      <color rgb="FF7FDBFF"/>
      <sz val="9"/>
    </font>
    <font>
      <name val="Arial"/>
      <charset val="1"/>
      <family val="0"/>
      <b val="1"/>
      <color rgb="FFE8FBFF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E8FBFF"/>
      <sz val="10"/>
    </font>
    <font>
      <name val="Arial"/>
      <charset val="1"/>
      <family val="0"/>
      <b val="1"/>
      <color rgb="FF7FDBFF"/>
      <sz val="14"/>
    </font>
    <font>
      <name val="Arial"/>
      <charset val="1"/>
      <family val="0"/>
      <b val="1"/>
      <color rgb="FFE8FB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0B2D42"/>
      <sz val="18"/>
    </font>
    <font>
      <name val="Aptos"/>
      <b val="1"/>
      <color rgb="0034D1BF"/>
      <sz val="9"/>
    </font>
    <font>
      <name val="Aptos Display"/>
      <b val="1"/>
      <color rgb="00FFFFFF"/>
      <sz val="17"/>
    </font>
    <font>
      <name val="Aptos"/>
      <b val="1"/>
      <color rgb="0062D9FF"/>
      <sz val="9"/>
    </font>
    <font>
      <name val="Aptos"/>
      <b val="1"/>
      <color rgb="00FF6B6B"/>
      <sz val="9"/>
    </font>
    <font>
      <name val="Aptos"/>
      <b val="1"/>
      <color rgb="00A78BFA"/>
      <sz val="9"/>
    </font>
    <font>
      <name val="Aptos"/>
      <b val="1"/>
      <color rgb="00F5C451"/>
      <sz val="9"/>
    </font>
    <font>
      <name val="Aptos Display"/>
      <b val="1"/>
      <color rgb="00FFFFFF"/>
      <sz val="22"/>
    </font>
  </fonts>
  <fills count="8">
    <fill>
      <patternFill/>
    </fill>
    <fill>
      <patternFill patternType="gray125"/>
    </fill>
    <fill>
      <patternFill patternType="solid">
        <fgColor rgb="FF071826"/>
        <bgColor rgb="FF0B2D42"/>
      </patternFill>
    </fill>
    <fill>
      <patternFill patternType="solid">
        <fgColor rgb="FF0B2D42"/>
        <bgColor rgb="FF0F3B52"/>
      </patternFill>
    </fill>
    <fill>
      <patternFill patternType="solid">
        <fgColor rgb="FF0F3B52"/>
        <bgColor rgb="FF17465D"/>
      </patternFill>
    </fill>
    <fill>
      <patternFill patternType="solid">
        <fgColor rgb="FFFFFFFF"/>
        <bgColor rgb="FFF9F9F9"/>
      </patternFill>
    </fill>
    <fill>
      <patternFill patternType="solid">
        <fgColor rgb="FF335C67"/>
        <bgColor rgb="FF1C4B61"/>
      </patternFill>
    </fill>
    <fill>
      <patternFill patternType="solid">
        <fgColor rgb="0017283A"/>
      </patternFill>
    </fill>
  </fills>
  <borders count="53">
    <border>
      <left/>
      <right/>
      <top/>
      <bottom/>
      <diagonal/>
    </border>
    <border>
      <left style="thin">
        <color rgb="FF0B2D42"/>
      </left>
      <right style="thin">
        <color rgb="FF0B2D42"/>
      </right>
      <top style="thin">
        <color rgb="FF0B2D42"/>
      </top>
      <bottom style="thin">
        <color rgb="FF0B2D42"/>
      </bottom>
      <diagonal/>
    </border>
    <border>
      <left style="thin">
        <color rgb="FF1C4B61"/>
      </left>
      <right style="thin">
        <color rgb="FF1C4B61"/>
      </right>
      <top style="thin">
        <color rgb="FF1C4B61"/>
      </top>
      <bottom style="thin">
        <color rgb="FF1C4B61"/>
      </bottom>
      <diagonal/>
    </border>
    <border>
      <left style="thin">
        <color rgb="FF17465D"/>
      </left>
      <right style="thin">
        <color rgb="FF17465D"/>
      </right>
      <top style="thin">
        <color rgb="FF17465D"/>
      </top>
      <bottom style="thin">
        <color rgb="FF17465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/>
      <top style="thin">
        <color rgb="FF0B2D42"/>
      </top>
      <bottom/>
      <diagonal/>
    </border>
    <border>
      <left style="thin">
        <color rgb="FF0B2D42"/>
      </left>
      <right/>
      <top/>
      <bottom/>
      <diagonal/>
    </border>
    <border>
      <left/>
      <right style="thin">
        <color rgb="FF0B2D42"/>
      </right>
      <top style="thin">
        <color rgb="FF0B2D42"/>
      </top>
      <bottom/>
      <diagonal/>
    </border>
    <border>
      <left/>
      <right style="thin">
        <color rgb="FF0B2D42"/>
      </right>
      <top/>
      <bottom/>
      <diagonal/>
    </border>
    <border>
      <left style="thin">
        <color rgb="FF0B2D42"/>
      </left>
      <right/>
      <top/>
      <bottom style="thin">
        <color rgb="FF0B2D42"/>
      </bottom>
      <diagonal/>
    </border>
    <border>
      <left/>
      <right/>
      <top/>
      <bottom style="thin">
        <color rgb="FF0B2D42"/>
      </bottom>
      <diagonal/>
    </border>
    <border>
      <left/>
      <right style="thin">
        <color rgb="FF0B2D42"/>
      </right>
      <top/>
      <bottom style="thin">
        <color rgb="FF0B2D42"/>
      </bottom>
      <diagonal/>
    </border>
    <border>
      <left style="thin">
        <color rgb="0034D1BF"/>
      </left>
      <right style="thin">
        <color rgb="0034D1BF"/>
      </right>
      <top style="thin">
        <color rgb="0034D1BF"/>
      </top>
      <bottom style="thin">
        <color rgb="0034D1BF"/>
      </bottom>
    </border>
    <border>
      <left/>
      <right/>
      <top style="thin">
        <color rgb="0034D1BF"/>
      </top>
      <bottom/>
      <diagonal/>
    </border>
    <border>
      <left style="thin">
        <color rgb="0034D1BF"/>
      </left>
      <right/>
      <top/>
      <bottom/>
      <diagonal/>
    </border>
    <border>
      <left/>
      <right style="thin">
        <color rgb="0034D1BF"/>
      </right>
      <top style="thin">
        <color rgb="0034D1BF"/>
      </top>
      <bottom/>
      <diagonal/>
    </border>
    <border>
      <left/>
      <right style="thin">
        <color rgb="0034D1BF"/>
      </right>
      <top/>
      <bottom/>
      <diagonal/>
    </border>
    <border>
      <left style="thin">
        <color rgb="0034D1BF"/>
      </left>
      <right/>
      <top/>
      <bottom style="thin">
        <color rgb="0034D1BF"/>
      </bottom>
      <diagonal/>
    </border>
    <border>
      <left/>
      <right/>
      <top/>
      <bottom style="thin">
        <color rgb="0034D1BF"/>
      </bottom>
      <diagonal/>
    </border>
    <border>
      <left/>
      <right style="thin">
        <color rgb="0034D1BF"/>
      </right>
      <top/>
      <bottom style="thin">
        <color rgb="0034D1BF"/>
      </bottom>
      <diagonal/>
    </border>
    <border>
      <left style="thin">
        <color rgb="0062D9FF"/>
      </left>
      <right style="thin">
        <color rgb="0062D9FF"/>
      </right>
      <top style="thin">
        <color rgb="0062D9FF"/>
      </top>
      <bottom style="thin">
        <color rgb="0062D9FF"/>
      </bottom>
    </border>
    <border>
      <left/>
      <right/>
      <top style="thin">
        <color rgb="0062D9FF"/>
      </top>
      <bottom/>
      <diagonal/>
    </border>
    <border>
      <left style="thin">
        <color rgb="0062D9FF"/>
      </left>
      <right/>
      <top/>
      <bottom/>
      <diagonal/>
    </border>
    <border>
      <left/>
      <right style="thin">
        <color rgb="0062D9FF"/>
      </right>
      <top style="thin">
        <color rgb="0062D9FF"/>
      </top>
      <bottom/>
      <diagonal/>
    </border>
    <border>
      <left/>
      <right style="thin">
        <color rgb="0062D9FF"/>
      </right>
      <top/>
      <bottom/>
      <diagonal/>
    </border>
    <border>
      <left style="thin">
        <color rgb="0062D9FF"/>
      </left>
      <right/>
      <top/>
      <bottom style="thin">
        <color rgb="0062D9FF"/>
      </bottom>
      <diagonal/>
    </border>
    <border>
      <left/>
      <right/>
      <top/>
      <bottom style="thin">
        <color rgb="0062D9FF"/>
      </bottom>
      <diagonal/>
    </border>
    <border>
      <left/>
      <right style="thin">
        <color rgb="0062D9FF"/>
      </right>
      <top/>
      <bottom style="thin">
        <color rgb="0062D9FF"/>
      </bottom>
      <diagonal/>
    </border>
    <border>
      <left style="thin">
        <color rgb="00FF6B6B"/>
      </left>
      <right style="thin">
        <color rgb="00FF6B6B"/>
      </right>
      <top style="thin">
        <color rgb="00FF6B6B"/>
      </top>
      <bottom style="thin">
        <color rgb="00FF6B6B"/>
      </bottom>
    </border>
    <border>
      <left/>
      <right/>
      <top style="thin">
        <color rgb="00FF6B6B"/>
      </top>
      <bottom/>
      <diagonal/>
    </border>
    <border>
      <left style="thin">
        <color rgb="00FF6B6B"/>
      </left>
      <right/>
      <top/>
      <bottom/>
      <diagonal/>
    </border>
    <border>
      <left/>
      <right style="thin">
        <color rgb="00FF6B6B"/>
      </right>
      <top style="thin">
        <color rgb="00FF6B6B"/>
      </top>
      <bottom/>
      <diagonal/>
    </border>
    <border>
      <left/>
      <right style="thin">
        <color rgb="00FF6B6B"/>
      </right>
      <top/>
      <bottom/>
      <diagonal/>
    </border>
    <border>
      <left style="thin">
        <color rgb="00FF6B6B"/>
      </left>
      <right/>
      <top/>
      <bottom style="thin">
        <color rgb="00FF6B6B"/>
      </bottom>
      <diagonal/>
    </border>
    <border>
      <left/>
      <right/>
      <top/>
      <bottom style="thin">
        <color rgb="00FF6B6B"/>
      </bottom>
      <diagonal/>
    </border>
    <border>
      <left/>
      <right style="thin">
        <color rgb="00FF6B6B"/>
      </right>
      <top/>
      <bottom style="thin">
        <color rgb="00FF6B6B"/>
      </bottom>
      <diagonal/>
    </border>
    <border>
      <left style="thin">
        <color rgb="00A78BFA"/>
      </left>
      <right style="thin">
        <color rgb="00A78BFA"/>
      </right>
      <top style="thin">
        <color rgb="00A78BFA"/>
      </top>
      <bottom style="thin">
        <color rgb="00A78BFA"/>
      </bottom>
    </border>
    <border>
      <left/>
      <right/>
      <top style="thin">
        <color rgb="00A78BFA"/>
      </top>
      <bottom/>
      <diagonal/>
    </border>
    <border>
      <left style="thin">
        <color rgb="00A78BFA"/>
      </left>
      <right/>
      <top/>
      <bottom/>
      <diagonal/>
    </border>
    <border>
      <left/>
      <right style="thin">
        <color rgb="00A78BFA"/>
      </right>
      <top style="thin">
        <color rgb="00A78BFA"/>
      </top>
      <bottom/>
      <diagonal/>
    </border>
    <border>
      <left/>
      <right style="thin">
        <color rgb="00A78BFA"/>
      </right>
      <top/>
      <bottom/>
      <diagonal/>
    </border>
    <border>
      <left style="thin">
        <color rgb="00A78BFA"/>
      </left>
      <right/>
      <top/>
      <bottom style="thin">
        <color rgb="00A78BFA"/>
      </bottom>
      <diagonal/>
    </border>
    <border>
      <left/>
      <right/>
      <top/>
      <bottom style="thin">
        <color rgb="00A78BFA"/>
      </bottom>
      <diagonal/>
    </border>
    <border>
      <left/>
      <right style="thin">
        <color rgb="00A78BFA"/>
      </right>
      <top/>
      <bottom style="thin">
        <color rgb="00A78BFA"/>
      </bottom>
      <diagonal/>
    </border>
    <border>
      <left style="thin">
        <color rgb="00F5C451"/>
      </left>
      <right style="thin">
        <color rgb="00F5C451"/>
      </right>
      <top style="thin">
        <color rgb="00F5C451"/>
      </top>
      <bottom style="thin">
        <color rgb="00F5C451"/>
      </bottom>
    </border>
    <border>
      <left/>
      <right/>
      <top style="thin">
        <color rgb="00F5C451"/>
      </top>
      <bottom/>
      <diagonal/>
    </border>
    <border>
      <left style="thin">
        <color rgb="00F5C451"/>
      </left>
      <right/>
      <top/>
      <bottom/>
      <diagonal/>
    </border>
    <border>
      <left/>
      <right style="thin">
        <color rgb="00F5C451"/>
      </right>
      <top style="thin">
        <color rgb="00F5C451"/>
      </top>
      <bottom/>
      <diagonal/>
    </border>
    <border>
      <left/>
      <right style="thin">
        <color rgb="00F5C451"/>
      </right>
      <top/>
      <bottom/>
      <diagonal/>
    </border>
    <border>
      <left style="thin">
        <color rgb="00F5C451"/>
      </left>
      <right/>
      <top/>
      <bottom style="thin">
        <color rgb="00F5C451"/>
      </bottom>
      <diagonal/>
    </border>
    <border>
      <left/>
      <right/>
      <top/>
      <bottom style="thin">
        <color rgb="00F5C451"/>
      </bottom>
      <diagonal/>
    </border>
    <border>
      <left/>
      <right style="thin">
        <color rgb="00F5C451"/>
      </right>
      <top/>
      <bottom style="thin">
        <color rgb="00F5C45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/>
    </xf>
    <xf numFmtId="0" fontId="9" fillId="2" borderId="2" applyAlignment="1" pivotButton="0" quotePrefix="0" xfId="0">
      <alignment horizontal="left" vertical="center"/>
    </xf>
    <xf numFmtId="164" fontId="9" fillId="2" borderId="2" applyAlignment="1" pivotButton="0" quotePrefix="0" xfId="0">
      <alignment horizontal="right" vertical="center"/>
    </xf>
    <xf numFmtId="165" fontId="9" fillId="2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9" fontId="9" fillId="2" borderId="3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 wrapText="1"/>
    </xf>
    <xf numFmtId="164" fontId="8" fillId="6" borderId="4" applyAlignment="1" pivotButton="0" quotePrefix="0" xfId="0">
      <alignment horizontal="center" vertical="center" wrapText="1"/>
    </xf>
    <xf numFmtId="165" fontId="8" fillId="6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164" fontId="4" fillId="5" borderId="5" applyAlignment="1" pivotButton="0" quotePrefix="0" xfId="0">
      <alignment horizontal="left" vertical="center" wrapText="1"/>
    </xf>
    <xf numFmtId="165" fontId="4" fillId="5" borderId="5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/>
    </xf>
    <xf numFmtId="166" fontId="4" fillId="5" borderId="0" applyAlignment="1" pivotButton="0" quotePrefix="0" xfId="0">
      <alignment horizontal="left" vertical="center"/>
    </xf>
    <xf numFmtId="9" fontId="4" fillId="5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164" fontId="15" fillId="7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6" pivotButton="0" quotePrefix="0" xfId="0"/>
    <xf numFmtId="165" fontId="17" fillId="7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4" pivotButton="0" quotePrefix="0" xfId="0"/>
    <xf numFmtId="165" fontId="18" fillId="7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32" pivotButton="0" quotePrefix="0" xfId="0"/>
    <xf numFmtId="164" fontId="19" fillId="7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40" pivotButton="0" quotePrefix="0" xfId="0"/>
    <xf numFmtId="164" fontId="20" fillId="7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167" fontId="16" fillId="7" borderId="13" applyAlignment="1" pivotButton="0" quotePrefix="0" xfId="0">
      <alignment horizontal="center" vertical="center" shrinkToFit="1"/>
    </xf>
    <xf numFmtId="165" fontId="16" fillId="7" borderId="21" applyAlignment="1" pivotButton="0" quotePrefix="0" xfId="0">
      <alignment horizontal="center" vertical="center" shrinkToFit="1"/>
    </xf>
    <xf numFmtId="165" fontId="16" fillId="7" borderId="29" applyAlignment="1" pivotButton="0" quotePrefix="0" xfId="0">
      <alignment horizontal="center" vertical="center" shrinkToFit="1"/>
    </xf>
    <xf numFmtId="167" fontId="16" fillId="7" borderId="37" applyAlignment="1" pivotButton="0" quotePrefix="0" xfId="0">
      <alignment horizontal="center" vertical="center" shrinkToFit="1"/>
    </xf>
    <xf numFmtId="167" fontId="16" fillId="7" borderId="45" applyAlignment="1" pivotButton="0" quotePrefix="0" xfId="0">
      <alignment horizontal="center" vertical="center" shrinkToFit="1"/>
    </xf>
    <xf numFmtId="0" fontId="8" fillId="4" borderId="0" applyAlignment="1" pivotButton="0" quotePrefix="0" xfId="0">
      <alignment horizontal="left" vertical="center"/>
    </xf>
    <xf numFmtId="0" fontId="9" fillId="2" borderId="2" applyAlignment="1" pivotButton="0" quotePrefix="0" xfId="0">
      <alignment horizontal="left" vertical="center"/>
    </xf>
    <xf numFmtId="164" fontId="9" fillId="2" borderId="2" applyAlignment="1" pivotButton="0" quotePrefix="0" xfId="0">
      <alignment horizontal="right" vertical="center"/>
    </xf>
    <xf numFmtId="165" fontId="9" fillId="2" borderId="2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9" fontId="9" fillId="2" borderId="3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165" fontId="4" fillId="5" borderId="0" applyAlignment="1" pivotButton="0" quotePrefix="0" xfId="0">
      <alignment horizontal="left" vertical="center"/>
    </xf>
    <xf numFmtId="0" fontId="8" fillId="6" borderId="4" applyAlignment="1" pivotButton="0" quotePrefix="0" xfId="0">
      <alignment horizontal="center" vertical="center" wrapText="1"/>
    </xf>
    <xf numFmtId="164" fontId="8" fillId="6" borderId="4" applyAlignment="1" pivotButton="0" quotePrefix="0" xfId="0">
      <alignment horizontal="center" vertical="center" wrapText="1"/>
    </xf>
    <xf numFmtId="165" fontId="8" fillId="6" borderId="4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164" fontId="4" fillId="5" borderId="5" applyAlignment="1" pivotButton="0" quotePrefix="0" xfId="0">
      <alignment horizontal="left" vertical="center" wrapText="1"/>
    </xf>
    <xf numFmtId="165" fontId="4" fillId="5" borderId="5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left" vertical="center"/>
    </xf>
    <xf numFmtId="166" fontId="4" fillId="5" borderId="0" applyAlignment="1" pivotButton="0" quotePrefix="0" xfId="0">
      <alignment horizontal="left" vertical="center"/>
    </xf>
    <xf numFmtId="9" fontId="4" fillId="5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35C67"/>
      <rgbColor rgb="FFC0C0C0"/>
      <rgbColor rgb="FF878787"/>
      <rgbColor rgb="FF9999FF"/>
      <rgbColor rgb="FFC0504D"/>
      <rgbColor rgb="FFF9F9F9"/>
      <rgbColor rgb="FFE8FB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7FF"/>
      <rgbColor rgb="FFD9E2EA"/>
      <rgbColor rgb="FFCCFFCC"/>
      <rgbColor rgb="FFFFFF99"/>
      <rgbColor rgb="FF7FDBFF"/>
      <rgbColor rgb="FFFF99CC"/>
      <rgbColor rgb="FFCC99FF"/>
      <rgbColor rgb="FFFFCC99"/>
      <rgbColor rgb="FF3366FF"/>
      <rgbColor rgb="FF00B6D7"/>
      <rgbColor rgb="FF9BBB59"/>
      <rgbColor rgb="FFFFCC00"/>
      <rgbColor rgb="FFFF9900"/>
      <rgbColor rgb="FFFF6600"/>
      <rgbColor rgb="FF4F81BD"/>
      <rgbColor rgb="FF969696"/>
      <rgbColor rgb="FF0F3B52"/>
      <rgbColor rgb="FF339966"/>
      <rgbColor rgb="FF071826"/>
      <rgbColor rgb="FF17465D"/>
      <rgbColor rgb="FF993300"/>
      <rgbColor rgb="FF993366"/>
      <rgbColor rgb="FF1C4B61"/>
      <rgbColor rgb="FF0B2D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MRR TREND</a:t>
            </a:r>
          </a:p>
        </rich>
      </tx>
    </title>
    <plotArea>
      <lineChart>
        <grouping val="standard"/>
        <ser>
          <idx val="0"/>
          <order val="0"/>
          <tx>
            <strRef>
              <f>'Command Center'!F11</f>
            </strRef>
          </tx>
          <spPr>
            <a:ln w="36000">
              <a:solidFill>
                <a:srgbClr val="34D1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'Command Center'!$B$12:$B$23</f>
            </numRef>
          </cat>
          <val>
            <numRef>
              <f>'Command Center'!$F$12:$F$23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Ending MRR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EXPANSION / CHURN BRIDGE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'Command Center'!C11</f>
            </strRef>
          </tx>
          <spPr>
            <a:solidFill>
              <a:srgbClr val="4F81BD"/>
            </a:solidFill>
            <a:ln>
              <a:solidFill>
                <a:srgbClr val="4F81BD"/>
              </a:solidFill>
              <a:prstDash val="solid"/>
            </a:ln>
          </spPr>
          <cat>
            <numRef>
              <f>'Command Center'!$B$12:$B$23</f>
            </numRef>
          </cat>
          <val>
            <numRef>
              <f>'Command Center'!$C$12:$C$23</f>
            </numRef>
          </val>
        </ser>
        <ser>
          <idx val="1"/>
          <order val="1"/>
          <tx>
            <strRef>
              <f>'Command Center'!D11</f>
            </strRef>
          </tx>
          <spPr>
            <a:solidFill>
              <a:srgbClr val="70AD47"/>
            </a:solidFill>
            <a:ln>
              <a:solidFill>
                <a:srgbClr val="70AD47"/>
              </a:solidFill>
              <a:prstDash val="solid"/>
            </a:ln>
          </spPr>
          <cat>
            <numRef>
              <f>'Command Center'!$B$12:$B$23</f>
            </numRef>
          </cat>
          <val>
            <numRef>
              <f>'Command Center'!$D$12:$D$23</f>
            </numRef>
          </val>
        </ser>
        <ser>
          <idx val="2"/>
          <order val="2"/>
          <tx>
            <strRef>
              <f>'Command Center'!E11</f>
            </strRef>
          </tx>
          <spPr>
            <a:solidFill>
              <a:srgbClr val="E45756"/>
            </a:solidFill>
            <a:ln>
              <a:solidFill>
                <a:srgbClr val="E45756"/>
              </a:solidFill>
              <a:prstDash val="solid"/>
            </a:ln>
          </spPr>
          <cat>
            <numRef>
              <f>'Command Center'!$B$12:$B$23</f>
            </numRef>
          </cat>
          <val>
            <numRef>
              <f>'Command Center'!$E$12:$E$23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10</row>
      <rowOff>0</rowOff>
    </from>
    <ext cx="48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25</row>
      <rowOff>0</rowOff>
    </from>
    <ext cx="48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evenueModel41" displayName="TRevenueModel41" ref="A4:G16" headerRowCount="1" totalsRowCount="0" totalsRowShown="0">
  <autoFilter ref="A4:G16"/>
  <tableColumns count="7">
    <tableColumn id="1" name="Month"/>
    <tableColumn id="2" name="New MRR"/>
    <tableColumn id="3" name="ARR"/>
    <tableColumn id="4" name="Expansion"/>
    <tableColumn id="5" name="Churn %"/>
    <tableColumn id="6" name="Ending MRR"/>
    <tableColumn id="7" name="NRR"/>
  </tableColumns>
</table>
</file>

<file path=xl/tables/table2.xml><?xml version="1.0" encoding="utf-8"?>
<table xmlns="http://schemas.openxmlformats.org/spreadsheetml/2006/main" id="2" name="TAssumptions32" displayName="TAssumptions32" ref="B3:E7" headerRowCount="1" totalsRowCount="0" totalsRowShown="0">
  <autoFilter ref="B3:E7"/>
  <tableColumns count="4">
    <tableColumn id="1" name="Assumption"/>
    <tableColumn id="2" name="Input"/>
    <tableColumn id="3" name="Unit"/>
    <tableColumn id="4" name="Own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 filterMode="0">
    <tabColor rgb="FF00B6D7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baseColWidth="8" defaultColWidth="8.5390625" defaultRowHeight="21" customHeight="1" zeroHeight="0" outlineLevelRow="0"/>
  <cols>
    <col width="11" customWidth="1" style="27" min="1" max="24"/>
    <col width="13" customWidth="1" style="27" min="25" max="31"/>
  </cols>
  <sheetData>
    <row r="1" ht="21" customHeight="1" s="28">
      <c r="A1" s="29" t="n"/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</row>
    <row r="2" ht="21" customHeight="1" s="28">
      <c r="A2" s="29" t="n"/>
      <c r="B2" s="30" t="inlineStr">
        <is>
          <t>Northstar SaaS Revenue &amp; Cohort Command Center</t>
        </is>
      </c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  <c r="AA2" s="29" t="n"/>
      <c r="AB2" s="29" t="n"/>
      <c r="AC2" s="29" t="n"/>
      <c r="AD2" s="29" t="n"/>
    </row>
    <row r="3" ht="21" customHeight="1" s="28">
      <c r="A3" s="29" t="n"/>
      <c r="B3" s="31" t="inlineStr">
        <is>
          <t>Dense finance cockpit: MRR, ARR, expansion, churn and cohort retention</t>
        </is>
      </c>
      <c r="C3" s="29" t="n"/>
      <c r="D3" s="29" t="n"/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n"/>
      <c r="R3" s="29" t="n"/>
      <c r="S3" s="29" t="n"/>
      <c r="T3" s="29" t="n"/>
      <c r="U3" s="29" t="n"/>
      <c r="V3" s="29" t="n"/>
      <c r="W3" s="29" t="n"/>
      <c r="X3" s="29" t="n"/>
      <c r="Y3" s="29" t="n"/>
      <c r="Z3" s="29" t="n"/>
      <c r="AA3" s="29" t="n"/>
      <c r="AB3" s="29" t="n"/>
      <c r="AC3" s="29" t="n"/>
      <c r="AD3" s="29" t="n"/>
    </row>
    <row r="4" ht="21" customHeight="1" s="28">
      <c r="A4" s="29" t="n"/>
      <c r="B4" s="29" t="n"/>
      <c r="C4" s="29" t="n"/>
      <c r="D4" s="29" t="n"/>
      <c r="E4" s="29" t="n"/>
      <c r="F4" s="29" t="n"/>
      <c r="G4" s="29" t="n"/>
      <c r="H4" s="29" t="n"/>
      <c r="I4" s="29" t="n"/>
      <c r="J4" s="29" t="n"/>
      <c r="K4" s="29" t="n"/>
      <c r="L4" s="29" t="n"/>
      <c r="M4" s="29" t="n"/>
      <c r="N4" s="29" t="n"/>
      <c r="O4" s="29" t="n"/>
      <c r="P4" s="29" t="n"/>
      <c r="Q4" s="29" t="n"/>
      <c r="R4" s="29" t="n"/>
      <c r="S4" s="29" t="n"/>
      <c r="T4" s="29" t="n"/>
      <c r="U4" s="29" t="n"/>
      <c r="V4" s="29" t="n"/>
      <c r="W4" s="29" t="n"/>
      <c r="X4" s="29" t="n"/>
      <c r="Y4" s="29" t="n"/>
      <c r="Z4" s="29" t="n"/>
      <c r="AA4" s="29" t="n"/>
      <c r="AB4" s="29" t="n"/>
      <c r="AC4" s="29" t="n"/>
      <c r="AD4" s="29" t="n"/>
    </row>
    <row r="5" ht="20" customHeight="1" s="28">
      <c r="A5" s="29" t="n"/>
      <c r="B5" s="32" t="inlineStr">
        <is>
          <t>ENDING MRR</t>
        </is>
      </c>
      <c r="C5" s="33" t="n"/>
      <c r="D5" s="34" t="n"/>
      <c r="E5" s="35" t="inlineStr">
        <is>
          <t>NET REVENUE RETENTION</t>
        </is>
      </c>
      <c r="F5" s="36" t="n"/>
      <c r="G5" s="37" t="n"/>
      <c r="H5" s="38" t="inlineStr">
        <is>
          <t>GROSS CHURN</t>
        </is>
      </c>
      <c r="I5" s="39" t="n"/>
      <c r="J5" s="40" t="n"/>
      <c r="K5" s="41" t="inlineStr">
        <is>
          <t>ARR RUN RATE</t>
        </is>
      </c>
      <c r="L5" s="42" t="n"/>
      <c r="M5" s="43" t="n"/>
      <c r="N5" s="44" t="inlineStr">
        <is>
          <t>EXPANSION MRR</t>
        </is>
      </c>
      <c r="O5" s="45" t="n"/>
      <c r="P5" s="46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</row>
    <row r="6" ht="18" customHeight="1" s="28">
      <c r="A6" s="29" t="n"/>
      <c r="B6" s="47" t="n"/>
      <c r="C6" s="48" t="n"/>
      <c r="D6" s="49" t="n"/>
      <c r="E6" s="50" t="n"/>
      <c r="F6" s="51" t="n"/>
      <c r="G6" s="52" t="n"/>
      <c r="H6" s="53" t="n"/>
      <c r="I6" s="54" t="n"/>
      <c r="J6" s="55" t="n"/>
      <c r="K6" s="56" t="n"/>
      <c r="L6" s="57" t="n"/>
      <c r="M6" s="58" t="n"/>
      <c r="N6" s="59" t="n"/>
      <c r="O6" s="60" t="n"/>
      <c r="P6" s="61" t="n"/>
      <c r="Q6" s="29" t="n"/>
      <c r="R6" s="29" t="n"/>
      <c r="S6" s="29" t="n"/>
      <c r="T6" s="29" t="n"/>
      <c r="U6" s="29" t="n"/>
      <c r="V6" s="29" t="n"/>
      <c r="W6" s="29" t="n"/>
      <c r="X6" s="29" t="n"/>
      <c r="Y6" s="29" t="n"/>
      <c r="Z6" s="29" t="n"/>
      <c r="AA6" s="29" t="n"/>
      <c r="AB6" s="29" t="n"/>
      <c r="AC6" s="29" t="n"/>
      <c r="AD6" s="29" t="n"/>
    </row>
    <row r="7" ht="24" customHeight="1" s="28">
      <c r="A7" s="29" t="n"/>
      <c r="B7" s="62">
        <f>F23</f>
        <v/>
      </c>
      <c r="C7" s="33" t="n"/>
      <c r="D7" s="34" t="n"/>
      <c r="E7" s="63">
        <f>G23</f>
        <v/>
      </c>
      <c r="F7" s="36" t="n"/>
      <c r="G7" s="37" t="n"/>
      <c r="H7" s="64">
        <f>E23/F22</f>
        <v/>
      </c>
      <c r="I7" s="39" t="n"/>
      <c r="J7" s="40" t="n"/>
      <c r="K7" s="65">
        <f>F23*12</f>
        <v/>
      </c>
      <c r="L7" s="42" t="n"/>
      <c r="M7" s="43" t="n"/>
      <c r="N7" s="66">
        <f>D23</f>
        <v/>
      </c>
      <c r="O7" s="45" t="n"/>
      <c r="P7" s="46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29" t="n"/>
      <c r="AA7" s="29" t="n"/>
      <c r="AB7" s="29" t="n"/>
      <c r="AC7" s="29" t="n"/>
      <c r="AD7" s="29" t="n"/>
    </row>
    <row r="8" ht="22" customHeight="1" s="28">
      <c r="A8" s="29" t="n"/>
      <c r="B8" s="47" t="n"/>
      <c r="C8" s="48" t="n"/>
      <c r="D8" s="49" t="n"/>
      <c r="E8" s="50" t="n"/>
      <c r="F8" s="51" t="n"/>
      <c r="G8" s="52" t="n"/>
      <c r="H8" s="53" t="n"/>
      <c r="I8" s="54" t="n"/>
      <c r="J8" s="55" t="n"/>
      <c r="K8" s="56" t="n"/>
      <c r="L8" s="57" t="n"/>
      <c r="M8" s="58" t="n"/>
      <c r="N8" s="59" t="n"/>
      <c r="O8" s="60" t="n"/>
      <c r="P8" s="61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</row>
    <row r="9" ht="21" customHeight="1" s="28">
      <c r="A9" s="29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</row>
    <row r="10" ht="21" customHeight="1" s="28">
      <c r="A10" s="29" t="n"/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</row>
    <row r="11" ht="21" customHeight="1" s="28">
      <c r="A11" s="29" t="n"/>
      <c r="B11" s="67" t="inlineStr">
        <is>
          <t>Month</t>
        </is>
      </c>
      <c r="C11" s="67" t="inlineStr">
        <is>
          <t>New MRR</t>
        </is>
      </c>
      <c r="D11" s="67" t="inlineStr">
        <is>
          <t>Expansion</t>
        </is>
      </c>
      <c r="E11" s="67" t="inlineStr">
        <is>
          <t>Churn</t>
        </is>
      </c>
      <c r="F11" s="67" t="inlineStr">
        <is>
          <t>Ending MRR</t>
        </is>
      </c>
      <c r="G11" s="67" t="inlineStr">
        <is>
          <t>NRR</t>
        </is>
      </c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</row>
    <row r="12" ht="21" customHeight="1" s="28">
      <c r="A12" s="29" t="n"/>
      <c r="B12" s="68" t="inlineStr">
        <is>
          <t>Jan</t>
        </is>
      </c>
      <c r="C12" s="69" t="n">
        <v>29600</v>
      </c>
      <c r="D12" s="69" t="n">
        <v>14200</v>
      </c>
      <c r="E12" s="69" t="n">
        <v>6660</v>
      </c>
      <c r="F12" s="69" t="n">
        <v>185000</v>
      </c>
      <c r="G12" s="70">
        <f>IF(F12-C12=0,0,(F12-C12+D12-E12)/(F12-C12))</f>
        <v/>
      </c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</row>
    <row r="13" ht="21" customHeight="1" s="28">
      <c r="A13" s="29" t="n"/>
      <c r="B13" s="68" t="inlineStr">
        <is>
          <t>Feb</t>
        </is>
      </c>
      <c r="C13" s="69" t="n">
        <v>30900</v>
      </c>
      <c r="D13" s="69" t="n">
        <v>14800</v>
      </c>
      <c r="E13" s="69" t="n">
        <v>6840</v>
      </c>
      <c r="F13" s="69">
        <f>F12+C13+D13-E13</f>
        <v/>
      </c>
      <c r="G13" s="70">
        <f>IF(F13-C13=0,0,(F13-C13+D13-E13)/(F13-C13))</f>
        <v/>
      </c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29" t="n"/>
      <c r="AA13" s="29" t="n"/>
      <c r="AB13" s="29" t="n"/>
      <c r="AC13" s="29" t="n"/>
      <c r="AD13" s="29" t="n"/>
    </row>
    <row r="14" ht="21" customHeight="1" s="28">
      <c r="A14" s="29" t="n"/>
      <c r="B14" s="68" t="inlineStr">
        <is>
          <t>Mar</t>
        </is>
      </c>
      <c r="C14" s="69" t="n">
        <v>32200</v>
      </c>
      <c r="D14" s="69" t="n">
        <v>15400</v>
      </c>
      <c r="E14" s="69" t="n">
        <v>7020</v>
      </c>
      <c r="F14" s="69">
        <f>F13+C14+D14-E14</f>
        <v/>
      </c>
      <c r="G14" s="70">
        <f>IF(F14-C14=0,0,(F14-C14+D14-E14)/(F14-C14))</f>
        <v/>
      </c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</row>
    <row r="15" ht="21" customHeight="1" s="28">
      <c r="A15" s="29" t="n"/>
      <c r="B15" s="68" t="inlineStr">
        <is>
          <t>Apr</t>
        </is>
      </c>
      <c r="C15" s="69" t="n">
        <v>33500</v>
      </c>
      <c r="D15" s="69" t="n">
        <v>16000</v>
      </c>
      <c r="E15" s="69" t="n">
        <v>7200</v>
      </c>
      <c r="F15" s="69">
        <f>F14+C15+D15-E15</f>
        <v/>
      </c>
      <c r="G15" s="70">
        <f>IF(F15-C15=0,0,(F15-C15+D15-E15)/(F15-C15))</f>
        <v/>
      </c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29" t="n"/>
      <c r="AC15" s="29" t="n"/>
      <c r="AD15" s="29" t="n"/>
    </row>
    <row r="16" ht="21" customHeight="1" s="28">
      <c r="A16" s="29" t="n"/>
      <c r="B16" s="68" t="inlineStr">
        <is>
          <t>May</t>
        </is>
      </c>
      <c r="C16" s="69" t="n">
        <v>34800</v>
      </c>
      <c r="D16" s="69" t="n">
        <v>16600</v>
      </c>
      <c r="E16" s="69" t="n">
        <v>7380</v>
      </c>
      <c r="F16" s="69">
        <f>F15+C16+D16-E16</f>
        <v/>
      </c>
      <c r="G16" s="70">
        <f>IF(F16-C16=0,0,(F16-C16+D16-E16)/(F16-C16))</f>
        <v/>
      </c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29" t="n"/>
      <c r="R16" s="29" t="n"/>
      <c r="S16" s="29" t="n"/>
      <c r="T16" s="29" t="n"/>
      <c r="U16" s="29" t="n"/>
      <c r="V16" s="29" t="n"/>
      <c r="W16" s="29" t="n"/>
      <c r="X16" s="29" t="n"/>
      <c r="Y16" s="29" t="n"/>
      <c r="Z16" s="29" t="n"/>
      <c r="AA16" s="29" t="n"/>
      <c r="AB16" s="29" t="n"/>
      <c r="AC16" s="29" t="n"/>
      <c r="AD16" s="29" t="n"/>
    </row>
    <row r="17" ht="21" customHeight="1" s="28">
      <c r="A17" s="29" t="n"/>
      <c r="B17" s="68" t="inlineStr">
        <is>
          <t>Jun</t>
        </is>
      </c>
      <c r="C17" s="69" t="n">
        <v>36100</v>
      </c>
      <c r="D17" s="69" t="n">
        <v>17200</v>
      </c>
      <c r="E17" s="69" t="n">
        <v>7560</v>
      </c>
      <c r="F17" s="69">
        <f>F16+C17+D17-E17</f>
        <v/>
      </c>
      <c r="G17" s="70">
        <f>IF(F17-C17=0,0,(F17-C17+D17-E17)/(F17-C17))</f>
        <v/>
      </c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</row>
    <row r="18" ht="21" customHeight="1" s="28">
      <c r="A18" s="29" t="n"/>
      <c r="B18" s="68" t="inlineStr">
        <is>
          <t>Jul</t>
        </is>
      </c>
      <c r="C18" s="69" t="n">
        <v>37400</v>
      </c>
      <c r="D18" s="69" t="n">
        <v>17800</v>
      </c>
      <c r="E18" s="69" t="n">
        <v>7740</v>
      </c>
      <c r="F18" s="69">
        <f>F17+C18+D18-E18</f>
        <v/>
      </c>
      <c r="G18" s="70">
        <f>IF(F18-C18=0,0,(F18-C18+D18-E18)/(F18-C18))</f>
        <v/>
      </c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</row>
    <row r="19" ht="21" customHeight="1" s="28">
      <c r="A19" s="29" t="n"/>
      <c r="B19" s="68" t="inlineStr">
        <is>
          <t>Aug</t>
        </is>
      </c>
      <c r="C19" s="69" t="n">
        <v>38700</v>
      </c>
      <c r="D19" s="69" t="n">
        <v>18400</v>
      </c>
      <c r="E19" s="69" t="n">
        <v>7920</v>
      </c>
      <c r="F19" s="69">
        <f>F18+C19+D19-E19</f>
        <v/>
      </c>
      <c r="G19" s="70">
        <f>IF(F19-C19=0,0,(F19-C19+D19-E19)/(F19-C19))</f>
        <v/>
      </c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</row>
    <row r="20" ht="21" customHeight="1" s="28">
      <c r="A20" s="29" t="n"/>
      <c r="B20" s="68" t="inlineStr">
        <is>
          <t>Sep</t>
        </is>
      </c>
      <c r="C20" s="69" t="n">
        <v>40000</v>
      </c>
      <c r="D20" s="69" t="n">
        <v>19000</v>
      </c>
      <c r="E20" s="69" t="n">
        <v>8100</v>
      </c>
      <c r="F20" s="69">
        <f>F19+C20+D20-E20</f>
        <v/>
      </c>
      <c r="G20" s="70">
        <f>IF(F20-C20=0,0,(F20-C20+D20-E20)/(F20-C20))</f>
        <v/>
      </c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</row>
    <row r="21" ht="21" customHeight="1" s="28">
      <c r="A21" s="29" t="n"/>
      <c r="B21" s="68" t="inlineStr">
        <is>
          <t>Oct</t>
        </is>
      </c>
      <c r="C21" s="69" t="n">
        <v>41300</v>
      </c>
      <c r="D21" s="69" t="n">
        <v>19600</v>
      </c>
      <c r="E21" s="69" t="n">
        <v>8280</v>
      </c>
      <c r="F21" s="69">
        <f>F20+C21+D21-E21</f>
        <v/>
      </c>
      <c r="G21" s="70">
        <f>IF(F21-C21=0,0,(F21-C21+D21-E21)/(F21-C21))</f>
        <v/>
      </c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29" t="n"/>
      <c r="U21" s="29" t="n"/>
      <c r="V21" s="29" t="n"/>
      <c r="W21" s="29" t="n"/>
      <c r="X21" s="29" t="n"/>
      <c r="Y21" s="29" t="n"/>
      <c r="Z21" s="29" t="n"/>
      <c r="AA21" s="29" t="n"/>
      <c r="AB21" s="29" t="n"/>
      <c r="AC21" s="29" t="n"/>
      <c r="AD21" s="29" t="n"/>
    </row>
    <row r="22" ht="21" customHeight="1" s="28">
      <c r="A22" s="29" t="n"/>
      <c r="B22" s="68" t="inlineStr">
        <is>
          <t>Nov</t>
        </is>
      </c>
      <c r="C22" s="69" t="n">
        <v>42600</v>
      </c>
      <c r="D22" s="69" t="n">
        <v>20200</v>
      </c>
      <c r="E22" s="69" t="n">
        <v>8460</v>
      </c>
      <c r="F22" s="69">
        <f>F21+C22+D22-E22</f>
        <v/>
      </c>
      <c r="G22" s="70">
        <f>IF(F22-C22=0,0,(F22-C22+D22-E22)/(F22-C22))</f>
        <v/>
      </c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n"/>
      <c r="W22" s="29" t="n"/>
      <c r="X22" s="29" t="n"/>
      <c r="Y22" s="29" t="n"/>
      <c r="Z22" s="29" t="n"/>
      <c r="AA22" s="29" t="n"/>
      <c r="AB22" s="29" t="n"/>
      <c r="AC22" s="29" t="n"/>
      <c r="AD22" s="29" t="n"/>
    </row>
    <row r="23" ht="21" customHeight="1" s="28">
      <c r="A23" s="29" t="n"/>
      <c r="B23" s="68" t="inlineStr">
        <is>
          <t>Dec</t>
        </is>
      </c>
      <c r="C23" s="69" t="n">
        <v>43900</v>
      </c>
      <c r="D23" s="69" t="n">
        <v>20800</v>
      </c>
      <c r="E23" s="69" t="n">
        <v>8640</v>
      </c>
      <c r="F23" s="69">
        <f>F22+C23+D23-E23</f>
        <v/>
      </c>
      <c r="G23" s="70">
        <f>IF(F23-C23=0,0,(F23-C23+D23-E23)/(F23-C23))</f>
        <v/>
      </c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  <c r="AA23" s="29" t="n"/>
      <c r="AB23" s="29" t="n"/>
      <c r="AC23" s="29" t="n"/>
      <c r="AD23" s="29" t="n"/>
    </row>
    <row r="24" ht="21" customHeight="1" s="28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</row>
    <row r="25" ht="21" customHeight="1" s="28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  <c r="AA25" s="29" t="n"/>
      <c r="AB25" s="29" t="n"/>
      <c r="AC25" s="29" t="n"/>
      <c r="AD25" s="29" t="n"/>
    </row>
    <row r="26" ht="21" customHeight="1" s="28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</row>
    <row r="27" ht="21" customHeight="1" s="28">
      <c r="A27" s="29" t="n"/>
      <c r="B27" s="71" t="inlineStr">
        <is>
          <t>Formula-driven cohort retention heatmap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</row>
    <row r="28" ht="21" customHeight="1" s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</row>
    <row r="29" ht="21" customHeight="1" s="28">
      <c r="A29" s="29" t="n"/>
      <c r="B29" s="72" t="inlineStr">
        <is>
          <t>Cohort</t>
        </is>
      </c>
      <c r="C29" s="72" t="inlineStr">
        <is>
          <t>M+0</t>
        </is>
      </c>
      <c r="D29" s="72" t="inlineStr">
        <is>
          <t>M+1</t>
        </is>
      </c>
      <c r="E29" s="72" t="inlineStr">
        <is>
          <t>M+2</t>
        </is>
      </c>
      <c r="F29" s="72" t="inlineStr">
        <is>
          <t>M+3</t>
        </is>
      </c>
      <c r="G29" s="72" t="inlineStr">
        <is>
          <t>M+4</t>
        </is>
      </c>
      <c r="H29" s="72" t="inlineStr">
        <is>
          <t>M+5</t>
        </is>
      </c>
      <c r="I29" s="72" t="inlineStr">
        <is>
          <t>M+6</t>
        </is>
      </c>
      <c r="J29" s="72" t="inlineStr">
        <is>
          <t>M+7</t>
        </is>
      </c>
      <c r="K29" s="72" t="inlineStr">
        <is>
          <t>M+8</t>
        </is>
      </c>
      <c r="L29" s="72" t="inlineStr">
        <is>
          <t>M+9</t>
        </is>
      </c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</row>
    <row r="30" ht="21" customHeight="1" s="28">
      <c r="A30" s="29" t="n"/>
      <c r="B30" s="73" t="inlineStr">
        <is>
          <t>Jan 2026</t>
        </is>
      </c>
      <c r="C30" s="74">
        <f>MAX(0.28,1-((0)*0.055)-((0)*0.01))</f>
        <v/>
      </c>
      <c r="D30" s="74">
        <f>MAX(0.28,1-((1)*0.055)-((0)*0.01))</f>
        <v/>
      </c>
      <c r="E30" s="74">
        <f>MAX(0.28,1-((2)*0.055)-((0)*0.01))</f>
        <v/>
      </c>
      <c r="F30" s="74">
        <f>MAX(0.28,1-((3)*0.055)-((0)*0.01))</f>
        <v/>
      </c>
      <c r="G30" s="74">
        <f>MAX(0.28,1-((4)*0.055)-((0)*0.01))</f>
        <v/>
      </c>
      <c r="H30" s="74">
        <f>MAX(0.28,1-((5)*0.055)-((0)*0.01))</f>
        <v/>
      </c>
      <c r="I30" s="74">
        <f>MAX(0.28,1-((6)*0.055)-((0)*0.01))</f>
        <v/>
      </c>
      <c r="J30" s="74">
        <f>MAX(0.28,1-((7)*0.055)-((0)*0.01))</f>
        <v/>
      </c>
      <c r="K30" s="74">
        <f>MAX(0.28,1-((8)*0.055)-((0)*0.01))</f>
        <v/>
      </c>
      <c r="L30" s="74">
        <f>MAX(0.28,1-((9)*0.055)-((0)*0.01))</f>
        <v/>
      </c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</row>
    <row r="31" ht="21" customHeight="1" s="28">
      <c r="A31" s="29" t="n"/>
      <c r="B31" s="73" t="inlineStr">
        <is>
          <t>Feb 2026</t>
        </is>
      </c>
      <c r="C31" s="74">
        <f>MAX(0.28,1-((0)*0.055)-((1)*0.01))</f>
        <v/>
      </c>
      <c r="D31" s="74">
        <f>MAX(0.28,1-((1)*0.055)-((1)*0.01))</f>
        <v/>
      </c>
      <c r="E31" s="74">
        <f>MAX(0.28,1-((2)*0.055)-((1)*0.01))</f>
        <v/>
      </c>
      <c r="F31" s="74">
        <f>MAX(0.28,1-((3)*0.055)-((1)*0.01))</f>
        <v/>
      </c>
      <c r="G31" s="74">
        <f>MAX(0.28,1-((4)*0.055)-((1)*0.01))</f>
        <v/>
      </c>
      <c r="H31" s="74">
        <f>MAX(0.28,1-((5)*0.055)-((1)*0.01))</f>
        <v/>
      </c>
      <c r="I31" s="74">
        <f>MAX(0.28,1-((6)*0.055)-((1)*0.01))</f>
        <v/>
      </c>
      <c r="J31" s="74">
        <f>MAX(0.28,1-((7)*0.055)-((1)*0.01))</f>
        <v/>
      </c>
      <c r="K31" s="74">
        <f>MAX(0.28,1-((8)*0.055)-((1)*0.01))</f>
        <v/>
      </c>
      <c r="L31" s="74">
        <f>MAX(0.28,1-((9)*0.055)-((1)*0.01))</f>
        <v/>
      </c>
      <c r="M31" s="29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  <c r="AA31" s="29" t="n"/>
      <c r="AB31" s="29" t="n"/>
      <c r="AC31" s="29" t="n"/>
      <c r="AD31" s="29" t="n"/>
    </row>
    <row r="32" ht="21" customHeight="1" s="28">
      <c r="A32" s="29" t="n"/>
      <c r="B32" s="73" t="inlineStr">
        <is>
          <t>Mar 2026</t>
        </is>
      </c>
      <c r="C32" s="74">
        <f>MAX(0.28,1-((0)*0.055)-((2)*0.01))</f>
        <v/>
      </c>
      <c r="D32" s="74">
        <f>MAX(0.28,1-((1)*0.055)-((2)*0.01))</f>
        <v/>
      </c>
      <c r="E32" s="74">
        <f>MAX(0.28,1-((2)*0.055)-((2)*0.01))</f>
        <v/>
      </c>
      <c r="F32" s="74">
        <f>MAX(0.28,1-((3)*0.055)-((2)*0.01))</f>
        <v/>
      </c>
      <c r="G32" s="74">
        <f>MAX(0.28,1-((4)*0.055)-((2)*0.01))</f>
        <v/>
      </c>
      <c r="H32" s="74">
        <f>MAX(0.28,1-((5)*0.055)-((2)*0.01))</f>
        <v/>
      </c>
      <c r="I32" s="74">
        <f>MAX(0.28,1-((6)*0.055)-((2)*0.01))</f>
        <v/>
      </c>
      <c r="J32" s="74">
        <f>MAX(0.28,1-((7)*0.055)-((2)*0.01))</f>
        <v/>
      </c>
      <c r="K32" s="74">
        <f>MAX(0.28,1-((8)*0.055)-((2)*0.01))</f>
        <v/>
      </c>
      <c r="L32" s="74">
        <f>MAX(0.28,1-((9)*0.055)-((2)*0.01))</f>
        <v/>
      </c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  <c r="AA32" s="29" t="n"/>
      <c r="AB32" s="29" t="n"/>
      <c r="AC32" s="29" t="n"/>
      <c r="AD32" s="29" t="n"/>
    </row>
    <row r="33" ht="21" customHeight="1" s="28">
      <c r="A33" s="29" t="n"/>
      <c r="B33" s="73" t="inlineStr">
        <is>
          <t>Apr 2026</t>
        </is>
      </c>
      <c r="C33" s="74">
        <f>MAX(0.28,1-((0)*0.055)-((3)*0.01))</f>
        <v/>
      </c>
      <c r="D33" s="74">
        <f>MAX(0.28,1-((1)*0.055)-((3)*0.01))</f>
        <v/>
      </c>
      <c r="E33" s="74">
        <f>MAX(0.28,1-((2)*0.055)-((3)*0.01))</f>
        <v/>
      </c>
      <c r="F33" s="74">
        <f>MAX(0.28,1-((3)*0.055)-((3)*0.01))</f>
        <v/>
      </c>
      <c r="G33" s="74">
        <f>MAX(0.28,1-((4)*0.055)-((3)*0.01))</f>
        <v/>
      </c>
      <c r="H33" s="74">
        <f>MAX(0.28,1-((5)*0.055)-((3)*0.01))</f>
        <v/>
      </c>
      <c r="I33" s="74">
        <f>MAX(0.28,1-((6)*0.055)-((3)*0.01))</f>
        <v/>
      </c>
      <c r="J33" s="74">
        <f>MAX(0.28,1-((7)*0.055)-((3)*0.01))</f>
        <v/>
      </c>
      <c r="K33" s="74">
        <f>MAX(0.28,1-((8)*0.055)-((3)*0.01))</f>
        <v/>
      </c>
      <c r="L33" s="74">
        <f>MAX(0.28,1-((9)*0.055)-((3)*0.01))</f>
        <v/>
      </c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  <c r="AA33" s="29" t="n"/>
      <c r="AB33" s="29" t="n"/>
      <c r="AC33" s="29" t="n"/>
      <c r="AD33" s="29" t="n"/>
    </row>
    <row r="34" ht="21" customHeight="1" s="28">
      <c r="A34" s="29" t="n"/>
      <c r="B34" s="73" t="inlineStr">
        <is>
          <t>May 2026</t>
        </is>
      </c>
      <c r="C34" s="74">
        <f>MAX(0.28,1-((0)*0.055)-((4)*0.01))</f>
        <v/>
      </c>
      <c r="D34" s="74">
        <f>MAX(0.28,1-((1)*0.055)-((4)*0.01))</f>
        <v/>
      </c>
      <c r="E34" s="74">
        <f>MAX(0.28,1-((2)*0.055)-((4)*0.01))</f>
        <v/>
      </c>
      <c r="F34" s="74">
        <f>MAX(0.28,1-((3)*0.055)-((4)*0.01))</f>
        <v/>
      </c>
      <c r="G34" s="74">
        <f>MAX(0.28,1-((4)*0.055)-((4)*0.01))</f>
        <v/>
      </c>
      <c r="H34" s="74">
        <f>MAX(0.28,1-((5)*0.055)-((4)*0.01))</f>
        <v/>
      </c>
      <c r="I34" s="74">
        <f>MAX(0.28,1-((6)*0.055)-((4)*0.01))</f>
        <v/>
      </c>
      <c r="J34" s="74">
        <f>MAX(0.28,1-((7)*0.055)-((4)*0.01))</f>
        <v/>
      </c>
      <c r="K34" s="74">
        <f>MAX(0.28,1-((8)*0.055)-((4)*0.01))</f>
        <v/>
      </c>
      <c r="L34" s="74">
        <f>MAX(0.28,1-((9)*0.055)-((4)*0.01))</f>
        <v/>
      </c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</row>
    <row r="35" ht="21" customHeight="1" s="28">
      <c r="A35" s="29" t="n"/>
      <c r="B35" s="73" t="inlineStr">
        <is>
          <t>Jun 2026</t>
        </is>
      </c>
      <c r="C35" s="74">
        <f>MAX(0.28,1-((0)*0.055)-((5)*0.01))</f>
        <v/>
      </c>
      <c r="D35" s="74">
        <f>MAX(0.28,1-((1)*0.055)-((5)*0.01))</f>
        <v/>
      </c>
      <c r="E35" s="74">
        <f>MAX(0.28,1-((2)*0.055)-((5)*0.01))</f>
        <v/>
      </c>
      <c r="F35" s="74">
        <f>MAX(0.28,1-((3)*0.055)-((5)*0.01))</f>
        <v/>
      </c>
      <c r="G35" s="74">
        <f>MAX(0.28,1-((4)*0.055)-((5)*0.01))</f>
        <v/>
      </c>
      <c r="H35" s="74">
        <f>MAX(0.28,1-((5)*0.055)-((5)*0.01))</f>
        <v/>
      </c>
      <c r="I35" s="74">
        <f>MAX(0.28,1-((6)*0.055)-((5)*0.01))</f>
        <v/>
      </c>
      <c r="J35" s="74">
        <f>MAX(0.28,1-((7)*0.055)-((5)*0.01))</f>
        <v/>
      </c>
      <c r="K35" s="74">
        <f>MAX(0.28,1-((8)*0.055)-((5)*0.01))</f>
        <v/>
      </c>
      <c r="L35" s="74">
        <f>MAX(0.28,1-((9)*0.055)-((5)*0.01))</f>
        <v/>
      </c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</row>
    <row r="36" ht="21" customHeight="1" s="28">
      <c r="A36" s="29" t="n"/>
      <c r="B36" s="73" t="inlineStr">
        <is>
          <t>Jul 2026</t>
        </is>
      </c>
      <c r="C36" s="74">
        <f>MAX(0.28,1-((0)*0.055)-((6)*0.01))</f>
        <v/>
      </c>
      <c r="D36" s="74">
        <f>MAX(0.28,1-((1)*0.055)-((6)*0.01))</f>
        <v/>
      </c>
      <c r="E36" s="74">
        <f>MAX(0.28,1-((2)*0.055)-((6)*0.01))</f>
        <v/>
      </c>
      <c r="F36" s="74">
        <f>MAX(0.28,1-((3)*0.055)-((6)*0.01))</f>
        <v/>
      </c>
      <c r="G36" s="74">
        <f>MAX(0.28,1-((4)*0.055)-((6)*0.01))</f>
        <v/>
      </c>
      <c r="H36" s="74">
        <f>MAX(0.28,1-((5)*0.055)-((6)*0.01))</f>
        <v/>
      </c>
      <c r="I36" s="74">
        <f>MAX(0.28,1-((6)*0.055)-((6)*0.01))</f>
        <v/>
      </c>
      <c r="J36" s="74">
        <f>MAX(0.28,1-((7)*0.055)-((6)*0.01))</f>
        <v/>
      </c>
      <c r="K36" s="74">
        <f>MAX(0.28,1-((8)*0.055)-((6)*0.01))</f>
        <v/>
      </c>
      <c r="L36" s="74">
        <f>MAX(0.28,1-((9)*0.055)-((6)*0.01))</f>
        <v/>
      </c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</row>
    <row r="37" ht="21" customHeight="1" s="28">
      <c r="A37" s="29" t="n"/>
      <c r="B37" s="73" t="inlineStr">
        <is>
          <t>Aug 2026</t>
        </is>
      </c>
      <c r="C37" s="74">
        <f>MAX(0.28,1-((0)*0.055)-((7)*0.01))</f>
        <v/>
      </c>
      <c r="D37" s="74">
        <f>MAX(0.28,1-((1)*0.055)-((7)*0.01))</f>
        <v/>
      </c>
      <c r="E37" s="74">
        <f>MAX(0.28,1-((2)*0.055)-((7)*0.01))</f>
        <v/>
      </c>
      <c r="F37" s="74">
        <f>MAX(0.28,1-((3)*0.055)-((7)*0.01))</f>
        <v/>
      </c>
      <c r="G37" s="74">
        <f>MAX(0.28,1-((4)*0.055)-((7)*0.01))</f>
        <v/>
      </c>
      <c r="H37" s="74">
        <f>MAX(0.28,1-((5)*0.055)-((7)*0.01))</f>
        <v/>
      </c>
      <c r="I37" s="74">
        <f>MAX(0.28,1-((6)*0.055)-((7)*0.01))</f>
        <v/>
      </c>
      <c r="J37" s="74">
        <f>MAX(0.28,1-((7)*0.055)-((7)*0.01))</f>
        <v/>
      </c>
      <c r="K37" s="74">
        <f>MAX(0.28,1-((8)*0.055)-((7)*0.01))</f>
        <v/>
      </c>
      <c r="L37" s="74">
        <f>MAX(0.28,1-((9)*0.055)-((7)*0.01))</f>
        <v/>
      </c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</row>
    <row r="38" ht="21" customHeight="1" s="28">
      <c r="A38" s="29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</row>
    <row r="39" ht="21" customHeight="1" s="28">
      <c r="A39" s="29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</row>
    <row r="40" ht="21" customHeight="1" s="28">
      <c r="A40" s="29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</row>
    <row r="41" ht="21" customHeight="1" s="28">
      <c r="A41" s="29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  <c r="AB41" s="29" t="n"/>
      <c r="AC41" s="29" t="n"/>
      <c r="AD41" s="29" t="n"/>
    </row>
    <row r="42" ht="21" customHeight="1" s="28">
      <c r="A42" s="29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29" t="n"/>
    </row>
    <row r="43" ht="21" customHeight="1" s="28">
      <c r="A43" s="29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</row>
    <row r="44" ht="21" customHeight="1" s="28">
      <c r="A44" s="29" t="n"/>
      <c r="B44" s="29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</row>
    <row r="45" ht="21" customHeight="1" s="28">
      <c r="A45" s="29" t="n"/>
      <c r="B45" s="29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</row>
    <row r="46" ht="21" customHeight="1" s="28">
      <c r="A46" s="29" t="n"/>
      <c r="B46" s="29" t="n"/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n"/>
      <c r="W46" s="29" t="n"/>
      <c r="X46" s="29" t="n"/>
      <c r="Y46" s="29" t="n"/>
      <c r="Z46" s="29" t="n"/>
      <c r="AA46" s="29" t="n"/>
      <c r="AB46" s="29" t="n"/>
      <c r="AC46" s="29" t="n"/>
      <c r="AD46" s="29" t="n"/>
    </row>
    <row r="47" ht="21" customHeight="1" s="28">
      <c r="A47" s="29" t="n"/>
      <c r="B47" s="29" t="n"/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n"/>
      <c r="W47" s="29" t="n"/>
      <c r="X47" s="29" t="n"/>
      <c r="Y47" s="29" t="n"/>
      <c r="Z47" s="29" t="n"/>
      <c r="AA47" s="29" t="n"/>
      <c r="AB47" s="29" t="n"/>
      <c r="AC47" s="29" t="n"/>
      <c r="AD47" s="29" t="n"/>
    </row>
    <row r="48" ht="21" customHeight="1" s="28">
      <c r="A48" s="29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29" t="n"/>
      <c r="AA48" s="29" t="n"/>
      <c r="AB48" s="29" t="n"/>
      <c r="AC48" s="29" t="n"/>
      <c r="AD48" s="29" t="n"/>
    </row>
    <row r="49" ht="21" customHeight="1" s="28">
      <c r="A49" s="29" t="n"/>
      <c r="B49" s="29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</row>
    <row r="50" ht="21" customHeight="1" s="28">
      <c r="A50" s="29" t="n"/>
      <c r="B50" s="29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</row>
    <row r="51" ht="21" customHeight="1" s="28">
      <c r="A51" s="29" t="n"/>
      <c r="B51" s="29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9" t="n"/>
      <c r="Z51" s="29" t="n"/>
      <c r="AA51" s="29" t="n"/>
      <c r="AB51" s="29" t="n"/>
      <c r="AC51" s="29" t="n"/>
      <c r="AD51" s="29" t="n"/>
    </row>
    <row r="52" ht="21" customHeight="1" s="28">
      <c r="A52" s="29" t="n"/>
      <c r="B52" s="29" t="n"/>
      <c r="C52" s="29" t="n"/>
      <c r="D52" s="29" t="n"/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29" t="n"/>
      <c r="R52" s="29" t="n"/>
      <c r="S52" s="29" t="n"/>
      <c r="T52" s="29" t="n"/>
      <c r="U52" s="29" t="n"/>
      <c r="V52" s="29" t="n"/>
      <c r="W52" s="29" t="n"/>
      <c r="X52" s="29" t="n"/>
      <c r="Y52" s="29" t="n"/>
      <c r="Z52" s="29" t="n"/>
      <c r="AA52" s="29" t="n"/>
      <c r="AB52" s="29" t="n"/>
      <c r="AC52" s="29" t="n"/>
      <c r="AD52" s="29" t="n"/>
    </row>
    <row r="53" ht="21" customHeight="1" s="28">
      <c r="A53" s="29" t="n"/>
      <c r="B53" s="29" t="n"/>
      <c r="C53" s="29" t="n"/>
      <c r="D53" s="29" t="n"/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29" t="n"/>
      <c r="S53" s="29" t="n"/>
      <c r="T53" s="29" t="n"/>
      <c r="U53" s="29" t="n"/>
      <c r="V53" s="29" t="n"/>
      <c r="W53" s="29" t="n"/>
      <c r="X53" s="29" t="n"/>
      <c r="Y53" s="29" t="n"/>
      <c r="Z53" s="29" t="n"/>
      <c r="AA53" s="29" t="n"/>
      <c r="AB53" s="29" t="n"/>
      <c r="AC53" s="29" t="n"/>
      <c r="AD53" s="29" t="n"/>
    </row>
    <row r="54" ht="21" customHeight="1" s="28">
      <c r="A54" s="29" t="n"/>
      <c r="B54" s="29" t="n"/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29" t="n"/>
      <c r="S54" s="29" t="n"/>
      <c r="T54" s="29" t="n"/>
      <c r="U54" s="29" t="n"/>
      <c r="V54" s="29" t="n"/>
      <c r="W54" s="29" t="n"/>
      <c r="X54" s="29" t="n"/>
      <c r="Y54" s="29" t="n"/>
      <c r="Z54" s="29" t="n"/>
      <c r="AA54" s="29" t="n"/>
      <c r="AB54" s="29" t="n"/>
      <c r="AC54" s="29" t="n"/>
      <c r="AD54" s="29" t="n"/>
    </row>
    <row r="55" ht="21" customHeight="1" s="28">
      <c r="A55" s="29" t="n"/>
      <c r="B55" s="29" t="n"/>
      <c r="C55" s="29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29" t="n"/>
      <c r="Z55" s="29" t="n"/>
      <c r="AA55" s="29" t="n"/>
      <c r="AB55" s="29" t="n"/>
      <c r="AC55" s="29" t="n"/>
      <c r="AD55" s="29" t="n"/>
    </row>
    <row r="56" ht="21" customHeight="1" s="28">
      <c r="A56" s="29" t="n"/>
      <c r="B56" s="29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9" t="n"/>
      <c r="Z56" s="29" t="n"/>
      <c r="AA56" s="29" t="n"/>
      <c r="AB56" s="29" t="n"/>
      <c r="AC56" s="29" t="n"/>
      <c r="AD56" s="29" t="n"/>
    </row>
    <row r="57" ht="21" customHeight="1" s="28">
      <c r="A57" s="29" t="n"/>
      <c r="B57" s="29" t="n"/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9" t="n"/>
      <c r="Z57" s="29" t="n"/>
      <c r="AA57" s="29" t="n"/>
      <c r="AB57" s="29" t="n"/>
      <c r="AC57" s="29" t="n"/>
      <c r="AD57" s="29" t="n"/>
    </row>
    <row r="58" ht="21" customHeight="1" s="28">
      <c r="A58" s="29" t="n"/>
      <c r="B58" s="29" t="n"/>
      <c r="C58" s="29" t="n"/>
      <c r="D58" s="29" t="n"/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  <c r="R58" s="29" t="n"/>
      <c r="S58" s="29" t="n"/>
      <c r="T58" s="29" t="n"/>
      <c r="U58" s="29" t="n"/>
      <c r="V58" s="29" t="n"/>
      <c r="W58" s="29" t="n"/>
      <c r="X58" s="29" t="n"/>
      <c r="Y58" s="29" t="n"/>
      <c r="Z58" s="29" t="n"/>
      <c r="AA58" s="29" t="n"/>
      <c r="AB58" s="29" t="n"/>
      <c r="AC58" s="29" t="n"/>
      <c r="AD58" s="29" t="n"/>
    </row>
    <row r="59" ht="21" customHeight="1" s="28">
      <c r="A59" s="29" t="n"/>
      <c r="B59" s="29" t="n"/>
      <c r="C59" s="29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9" t="n"/>
      <c r="Z59" s="29" t="n"/>
      <c r="AA59" s="29" t="n"/>
      <c r="AB59" s="29" t="n"/>
      <c r="AC59" s="29" t="n"/>
      <c r="AD59" s="29" t="n"/>
    </row>
    <row r="60" ht="21" customHeight="1" s="28">
      <c r="A60" s="29" t="n"/>
      <c r="B60" s="29" t="n"/>
      <c r="C60" s="29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9" t="n"/>
      <c r="Z60" s="29" t="n"/>
      <c r="AA60" s="29" t="n"/>
      <c r="AB60" s="29" t="n"/>
      <c r="AC60" s="29" t="n"/>
      <c r="AD60" s="29" t="n"/>
    </row>
    <row r="61" ht="21" customHeight="1" s="28">
      <c r="A61" s="29" t="n"/>
      <c r="B61" s="29" t="n"/>
      <c r="C61" s="29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  <c r="AA61" s="29" t="n"/>
      <c r="AB61" s="29" t="n"/>
      <c r="AC61" s="29" t="n"/>
      <c r="AD61" s="29" t="n"/>
    </row>
    <row r="62" ht="21" customHeight="1" s="28">
      <c r="A62" s="29" t="n"/>
      <c r="B62" s="29" t="n"/>
      <c r="C62" s="29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9" t="n"/>
      <c r="Z62" s="29" t="n"/>
      <c r="AA62" s="29" t="n"/>
      <c r="AB62" s="29" t="n"/>
      <c r="AC62" s="29" t="n"/>
      <c r="AD62" s="29" t="n"/>
    </row>
    <row r="63" ht="21" customHeight="1" s="28">
      <c r="A63" s="29" t="n"/>
      <c r="B63" s="29" t="n"/>
      <c r="C63" s="29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9" t="n"/>
      <c r="Z63" s="29" t="n"/>
      <c r="AA63" s="29" t="n"/>
      <c r="AB63" s="29" t="n"/>
      <c r="AC63" s="29" t="n"/>
      <c r="AD63" s="29" t="n"/>
    </row>
    <row r="64" ht="21" customHeight="1" s="28">
      <c r="A64" s="29" t="n"/>
      <c r="B64" s="29" t="n"/>
      <c r="C64" s="29" t="n"/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  <c r="AA64" s="29" t="n"/>
      <c r="AB64" s="29" t="n"/>
      <c r="AC64" s="29" t="n"/>
      <c r="AD64" s="29" t="n"/>
    </row>
    <row r="65" ht="21" customHeight="1" s="28">
      <c r="A65" s="29" t="n"/>
      <c r="B65" s="29" t="n"/>
      <c r="C65" s="29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9" t="n"/>
      <c r="Z65" s="29" t="n"/>
      <c r="AA65" s="29" t="n"/>
      <c r="AB65" s="29" t="n"/>
      <c r="AC65" s="29" t="n"/>
      <c r="AD65" s="29" t="n"/>
    </row>
    <row r="66" ht="21" customHeight="1" s="28">
      <c r="A66" s="29" t="n"/>
      <c r="B66" s="29" t="n"/>
      <c r="C66" s="29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9" t="n"/>
      <c r="Z66" s="29" t="n"/>
      <c r="AA66" s="29" t="n"/>
      <c r="AB66" s="29" t="n"/>
      <c r="AC66" s="29" t="n"/>
      <c r="AD66" s="29" t="n"/>
    </row>
    <row r="67" ht="21" customHeight="1" s="28">
      <c r="A67" s="29" t="n"/>
      <c r="B67" s="29" t="n"/>
      <c r="C67" s="29" t="n"/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29" t="n"/>
      <c r="Y67" s="29" t="n"/>
      <c r="Z67" s="29" t="n"/>
      <c r="AA67" s="29" t="n"/>
      <c r="AB67" s="29" t="n"/>
      <c r="AC67" s="29" t="n"/>
      <c r="AD67" s="29" t="n"/>
    </row>
    <row r="68" ht="21" customHeight="1" s="28">
      <c r="A68" s="29" t="n"/>
      <c r="B68" s="29" t="n"/>
      <c r="C68" s="29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9" t="n"/>
      <c r="Z68" s="29" t="n"/>
      <c r="AA68" s="29" t="n"/>
      <c r="AB68" s="29" t="n"/>
      <c r="AC68" s="29" t="n"/>
      <c r="AD68" s="29" t="n"/>
    </row>
    <row r="69" ht="21" customHeight="1" s="28">
      <c r="A69" s="29" t="n"/>
      <c r="B69" s="29" t="n"/>
      <c r="C69" s="29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  <c r="AA69" s="29" t="n"/>
      <c r="AB69" s="29" t="n"/>
      <c r="AC69" s="29" t="n"/>
      <c r="AD69" s="29" t="n"/>
    </row>
    <row r="70" ht="21" customHeight="1" s="28">
      <c r="A70" s="29" t="n"/>
      <c r="B70" s="29" t="n"/>
      <c r="C70" s="29" t="n"/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</row>
  </sheetData>
  <mergeCells count="11">
    <mergeCell ref="H7:J8"/>
    <mergeCell ref="B2:M2"/>
    <mergeCell ref="N7:P8"/>
    <mergeCell ref="B5:D6"/>
    <mergeCell ref="E5:G6"/>
    <mergeCell ref="K5:M6"/>
    <mergeCell ref="H5:J6"/>
    <mergeCell ref="N5:P6"/>
    <mergeCell ref="B7:D8"/>
    <mergeCell ref="E7:G8"/>
    <mergeCell ref="K7:M8"/>
  </mergeCells>
  <conditionalFormatting sqref="C30:L37">
    <cfRule type="colorScale" priority="2">
      <colorScale>
        <cfvo type="num" val="0.35"/>
        <cfvo type="num" val="0.65"/>
        <cfvo type="num" val="0.95"/>
        <color rgb="FF123047"/>
        <color rgb="FF087E8B"/>
        <color rgb="FF7FDBFF"/>
      </colorScale>
    </cfRule>
  </conditionalFormatting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B2D42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27" min="1" max="31"/>
  </cols>
  <sheetData>
    <row r="1" ht="21" customHeight="1" s="28">
      <c r="A1" s="75" t="n"/>
      <c r="B1" s="75" t="n"/>
      <c r="C1" s="76" t="n"/>
      <c r="D1" s="75" t="n"/>
      <c r="E1" s="77" t="n"/>
      <c r="F1" s="76" t="n"/>
      <c r="G1" s="77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</row>
    <row r="2" ht="21" customHeight="1" s="28">
      <c r="A2" s="75" t="n"/>
      <c r="B2" s="75" t="n"/>
      <c r="C2" s="76" t="n"/>
      <c r="D2" s="75" t="n"/>
      <c r="E2" s="77" t="n"/>
      <c r="F2" s="76" t="n"/>
      <c r="G2" s="77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</row>
    <row r="3" ht="21" customHeight="1" s="28">
      <c r="A3" s="75" t="n"/>
      <c r="B3" s="75" t="n"/>
      <c r="C3" s="76" t="n"/>
      <c r="D3" s="75" t="n"/>
      <c r="E3" s="77" t="n"/>
      <c r="F3" s="76" t="n"/>
      <c r="G3" s="77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</row>
    <row r="4" ht="21" customHeight="1" s="28">
      <c r="A4" s="78" t="inlineStr">
        <is>
          <t>Month</t>
        </is>
      </c>
      <c r="B4" s="78" t="inlineStr">
        <is>
          <t>New MRR</t>
        </is>
      </c>
      <c r="C4" s="79" t="inlineStr">
        <is>
          <t>ARR</t>
        </is>
      </c>
      <c r="D4" s="78" t="inlineStr">
        <is>
          <t>Expansion</t>
        </is>
      </c>
      <c r="E4" s="80" t="inlineStr">
        <is>
          <t>Churn %</t>
        </is>
      </c>
      <c r="F4" s="79" t="inlineStr">
        <is>
          <t>Ending MRR</t>
        </is>
      </c>
      <c r="G4" s="80" t="inlineStr">
        <is>
          <t>NRR</t>
        </is>
      </c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</row>
    <row r="5" ht="21" customHeight="1" s="28">
      <c r="A5" s="81" t="inlineStr">
        <is>
          <t>Jan</t>
        </is>
      </c>
      <c r="B5" s="81" t="n">
        <v>13500</v>
      </c>
      <c r="C5" s="82">
        <f>F5*12</f>
        <v/>
      </c>
      <c r="D5" s="81" t="n">
        <v>6400</v>
      </c>
      <c r="E5" s="83" t="n">
        <v>0.026</v>
      </c>
      <c r="F5" s="82">
        <f>185000+B5+D5-(185000*E5)</f>
        <v/>
      </c>
      <c r="G5" s="83">
        <f>IF(185000=0,0,(185000+D5-(185000*E5))/185000)</f>
        <v/>
      </c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</row>
    <row r="6" ht="21" customHeight="1" s="28">
      <c r="A6" s="81" t="inlineStr">
        <is>
          <t>Feb</t>
        </is>
      </c>
      <c r="B6" s="81" t="n">
        <v>15000</v>
      </c>
      <c r="C6" s="82">
        <f>F6*12</f>
        <v/>
      </c>
      <c r="D6" s="81" t="n">
        <v>6800</v>
      </c>
      <c r="E6" s="83" t="n">
        <v>0.027</v>
      </c>
      <c r="F6" s="82">
        <f>F5+B6+D6-(F5*E6)</f>
        <v/>
      </c>
      <c r="G6" s="83">
        <f>IF(F5=0,0,(F5+D6-(F5*E6))/F5)</f>
        <v/>
      </c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</row>
    <row r="7" ht="21" customHeight="1" s="28">
      <c r="A7" s="81" t="inlineStr">
        <is>
          <t>Mar</t>
        </is>
      </c>
      <c r="B7" s="81" t="n">
        <v>16500</v>
      </c>
      <c r="C7" s="82">
        <f>F7*12</f>
        <v/>
      </c>
      <c r="D7" s="81" t="n">
        <v>7200</v>
      </c>
      <c r="E7" s="83" t="n">
        <v>0.028</v>
      </c>
      <c r="F7" s="82">
        <f>F6+B7+D7-(F6*E7)</f>
        <v/>
      </c>
      <c r="G7" s="83">
        <f>IF(F6=0,0,(F6+D7-(F6*E7))/F6)</f>
        <v/>
      </c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</row>
    <row r="8" ht="21" customHeight="1" s="28">
      <c r="A8" s="81" t="inlineStr">
        <is>
          <t>Apr</t>
        </is>
      </c>
      <c r="B8" s="81" t="n">
        <v>18000</v>
      </c>
      <c r="C8" s="82">
        <f>F8*12</f>
        <v/>
      </c>
      <c r="D8" s="81" t="n">
        <v>7600</v>
      </c>
      <c r="E8" s="83" t="n">
        <v>0.029</v>
      </c>
      <c r="F8" s="82">
        <f>F7+B8+D8-(F7*E8)</f>
        <v/>
      </c>
      <c r="G8" s="83">
        <f>IF(F7=0,0,(F7+D8-(F7*E8))/F7)</f>
        <v/>
      </c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</row>
    <row r="9" ht="21" customHeight="1" s="28">
      <c r="A9" s="81" t="inlineStr">
        <is>
          <t>May</t>
        </is>
      </c>
      <c r="B9" s="81" t="n">
        <v>19500</v>
      </c>
      <c r="C9" s="82">
        <f>F9*12</f>
        <v/>
      </c>
      <c r="D9" s="81" t="n">
        <v>8000</v>
      </c>
      <c r="E9" s="83" t="n">
        <v>0.03</v>
      </c>
      <c r="F9" s="82">
        <f>F8+B9+D9-(F8*E9)</f>
        <v/>
      </c>
      <c r="G9" s="83">
        <f>IF(F8=0,0,(F8+D9-(F8*E9))/F8)</f>
        <v/>
      </c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</row>
    <row r="10" ht="21" customHeight="1" s="28">
      <c r="A10" s="81" t="inlineStr">
        <is>
          <t>Jun</t>
        </is>
      </c>
      <c r="B10" s="81" t="n">
        <v>21000</v>
      </c>
      <c r="C10" s="82">
        <f>F10*12</f>
        <v/>
      </c>
      <c r="D10" s="81" t="n">
        <v>8400</v>
      </c>
      <c r="E10" s="83" t="n">
        <v>0.031</v>
      </c>
      <c r="F10" s="82">
        <f>F9+B10+D10-(F9*E10)</f>
        <v/>
      </c>
      <c r="G10" s="83">
        <f>IF(F9=0,0,(F9+D10-(F9*E10))/F9)</f>
        <v/>
      </c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</row>
    <row r="11" ht="21" customHeight="1" s="28">
      <c r="A11" s="81" t="inlineStr">
        <is>
          <t>Jul</t>
        </is>
      </c>
      <c r="B11" s="81" t="n">
        <v>22500</v>
      </c>
      <c r="C11" s="82">
        <f>F11*12</f>
        <v/>
      </c>
      <c r="D11" s="81" t="n">
        <v>8800</v>
      </c>
      <c r="E11" s="83" t="n">
        <v>0.032</v>
      </c>
      <c r="F11" s="82">
        <f>F10+B11+D11-(F10*E11)</f>
        <v/>
      </c>
      <c r="G11" s="83">
        <f>IF(F10=0,0,(F10+D11-(F10*E11))/F10)</f>
        <v/>
      </c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</row>
    <row r="12" ht="21" customHeight="1" s="28">
      <c r="A12" s="81" t="inlineStr">
        <is>
          <t>Aug</t>
        </is>
      </c>
      <c r="B12" s="81" t="n">
        <v>24000</v>
      </c>
      <c r="C12" s="82">
        <f>F12*12</f>
        <v/>
      </c>
      <c r="D12" s="81" t="n">
        <v>9200</v>
      </c>
      <c r="E12" s="83" t="n">
        <v>0.033</v>
      </c>
      <c r="F12" s="82">
        <f>F11+B12+D12-(F11*E12)</f>
        <v/>
      </c>
      <c r="G12" s="83">
        <f>IF(F11=0,0,(F11+D12-(F11*E12))/F11)</f>
        <v/>
      </c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</row>
    <row r="13" ht="21" customHeight="1" s="28">
      <c r="A13" s="81" t="inlineStr">
        <is>
          <t>Sep</t>
        </is>
      </c>
      <c r="B13" s="81" t="n">
        <v>25500</v>
      </c>
      <c r="C13" s="82">
        <f>F13*12</f>
        <v/>
      </c>
      <c r="D13" s="81" t="n">
        <v>9600</v>
      </c>
      <c r="E13" s="83" t="n">
        <v>0.034</v>
      </c>
      <c r="F13" s="82">
        <f>F12+B13+D13-(F12*E13)</f>
        <v/>
      </c>
      <c r="G13" s="83">
        <f>IF(F12=0,0,(F12+D13-(F12*E13))/F12)</f>
        <v/>
      </c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</row>
    <row r="14" ht="21" customHeight="1" s="28">
      <c r="A14" s="81" t="inlineStr">
        <is>
          <t>Oct</t>
        </is>
      </c>
      <c r="B14" s="81" t="n">
        <v>27000</v>
      </c>
      <c r="C14" s="82">
        <f>F14*12</f>
        <v/>
      </c>
      <c r="D14" s="81" t="n">
        <v>10000</v>
      </c>
      <c r="E14" s="83" t="n">
        <v>0.035</v>
      </c>
      <c r="F14" s="82">
        <f>F13+B14+D14-(F13*E14)</f>
        <v/>
      </c>
      <c r="G14" s="83">
        <f>IF(F13=0,0,(F13+D14-(F13*E14))/F13)</f>
        <v/>
      </c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</row>
    <row r="15" ht="21" customHeight="1" s="28">
      <c r="A15" s="81" t="inlineStr">
        <is>
          <t>Nov</t>
        </is>
      </c>
      <c r="B15" s="81" t="n">
        <v>28500</v>
      </c>
      <c r="C15" s="82">
        <f>F15*12</f>
        <v/>
      </c>
      <c r="D15" s="81" t="n">
        <v>10400</v>
      </c>
      <c r="E15" s="83" t="n">
        <v>0.036</v>
      </c>
      <c r="F15" s="82">
        <f>F14+B15+D15-(F14*E15)</f>
        <v/>
      </c>
      <c r="G15" s="83">
        <f>IF(F14=0,0,(F14+D15-(F14*E15))/F14)</f>
        <v/>
      </c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</row>
    <row r="16" ht="21" customHeight="1" s="28">
      <c r="A16" s="81" t="inlineStr">
        <is>
          <t>Dec</t>
        </is>
      </c>
      <c r="B16" s="81" t="n">
        <v>30000</v>
      </c>
      <c r="C16" s="82">
        <f>F16*12</f>
        <v/>
      </c>
      <c r="D16" s="81" t="n">
        <v>10800</v>
      </c>
      <c r="E16" s="83" t="n">
        <v>0.037</v>
      </c>
      <c r="F16" s="82">
        <f>F15+B16+D16-(F15*E16)</f>
        <v/>
      </c>
      <c r="G16" s="83">
        <f>IF(F15=0,0,(F15+D16-(F15*E16))/F15)</f>
        <v/>
      </c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</row>
    <row r="17" ht="21" customHeight="1" s="28">
      <c r="A17" s="75" t="n"/>
      <c r="B17" s="75" t="n"/>
      <c r="C17" s="76" t="n"/>
      <c r="D17" s="75" t="n"/>
      <c r="E17" s="77" t="n"/>
      <c r="F17" s="76" t="n"/>
      <c r="G17" s="77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</row>
    <row r="18" ht="21" customHeight="1" s="28">
      <c r="A18" s="75" t="n"/>
      <c r="B18" s="75" t="n"/>
      <c r="C18" s="76" t="n"/>
      <c r="D18" s="75" t="n"/>
      <c r="E18" s="77" t="n"/>
      <c r="F18" s="76" t="n"/>
      <c r="G18" s="77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</row>
    <row r="19" ht="21" customHeight="1" s="28">
      <c r="A19" s="75" t="n"/>
      <c r="B19" s="75" t="n"/>
      <c r="C19" s="76" t="n"/>
      <c r="D19" s="75" t="n"/>
      <c r="E19" s="77" t="n"/>
      <c r="F19" s="76" t="n"/>
      <c r="G19" s="77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</row>
    <row r="20" ht="21" customHeight="1" s="28">
      <c r="A20" s="75" t="n"/>
      <c r="B20" s="75" t="n"/>
      <c r="C20" s="76" t="n"/>
      <c r="D20" s="75" t="n"/>
      <c r="E20" s="77" t="n"/>
      <c r="F20" s="76" t="n"/>
      <c r="G20" s="77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</row>
    <row r="21" ht="21" customHeight="1" s="28">
      <c r="A21" s="75" t="n"/>
      <c r="B21" s="75" t="n"/>
      <c r="C21" s="76" t="n"/>
      <c r="D21" s="75" t="n"/>
      <c r="E21" s="77" t="n"/>
      <c r="F21" s="76" t="n"/>
      <c r="G21" s="77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</row>
    <row r="22" ht="21" customHeight="1" s="28">
      <c r="A22" s="75" t="n"/>
      <c r="B22" s="75" t="n"/>
      <c r="C22" s="76" t="n"/>
      <c r="D22" s="75" t="n"/>
      <c r="E22" s="77" t="n"/>
      <c r="F22" s="76" t="n"/>
      <c r="G22" s="77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</row>
    <row r="23" ht="21" customHeight="1" s="28">
      <c r="A23" s="75" t="n"/>
      <c r="B23" s="75" t="n"/>
      <c r="C23" s="76" t="n"/>
      <c r="D23" s="75" t="n"/>
      <c r="E23" s="77" t="n"/>
      <c r="F23" s="76" t="n"/>
      <c r="G23" s="77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</row>
    <row r="24" ht="21" customHeight="1" s="28">
      <c r="A24" s="75" t="n"/>
      <c r="B24" s="75" t="n"/>
      <c r="C24" s="76" t="n"/>
      <c r="D24" s="75" t="n"/>
      <c r="E24" s="77" t="n"/>
      <c r="F24" s="76" t="n"/>
      <c r="G24" s="77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</row>
    <row r="25" ht="21" customHeight="1" s="28">
      <c r="A25" s="75" t="n"/>
      <c r="B25" s="75" t="n"/>
      <c r="C25" s="76" t="n"/>
      <c r="D25" s="75" t="n"/>
      <c r="E25" s="77" t="n"/>
      <c r="F25" s="76" t="n"/>
      <c r="G25" s="77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</row>
    <row r="26" ht="21" customHeight="1" s="28">
      <c r="A26" s="75" t="n"/>
      <c r="B26" s="75" t="n"/>
      <c r="C26" s="76" t="n"/>
      <c r="D26" s="75" t="n"/>
      <c r="E26" s="77" t="n"/>
      <c r="F26" s="76" t="n"/>
      <c r="G26" s="77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</row>
    <row r="27" ht="21" customHeight="1" s="28">
      <c r="A27" s="75" t="n"/>
      <c r="B27" s="75" t="n"/>
      <c r="C27" s="76" t="n"/>
      <c r="D27" s="75" t="n"/>
      <c r="E27" s="77" t="n"/>
      <c r="F27" s="76" t="n"/>
      <c r="G27" s="77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</row>
    <row r="28" ht="21" customHeight="1" s="28">
      <c r="A28" s="75" t="n"/>
      <c r="B28" s="75" t="n"/>
      <c r="C28" s="76" t="n"/>
      <c r="D28" s="75" t="n"/>
      <c r="E28" s="77" t="n"/>
      <c r="F28" s="76" t="n"/>
      <c r="G28" s="77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</row>
    <row r="29" ht="21" customHeight="1" s="28">
      <c r="A29" s="75" t="n"/>
      <c r="B29" s="75" t="n"/>
      <c r="C29" s="76" t="n"/>
      <c r="D29" s="75" t="n"/>
      <c r="E29" s="77" t="n"/>
      <c r="F29" s="76" t="n"/>
      <c r="G29" s="77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</row>
    <row r="30" ht="21" customHeight="1" s="28">
      <c r="A30" s="75" t="n"/>
      <c r="B30" s="75" t="n"/>
      <c r="C30" s="76" t="n"/>
      <c r="D30" s="75" t="n"/>
      <c r="E30" s="77" t="n"/>
      <c r="F30" s="76" t="n"/>
      <c r="G30" s="77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</row>
    <row r="31" ht="21" customHeight="1" s="28">
      <c r="A31" s="75" t="n"/>
      <c r="B31" s="75" t="n"/>
      <c r="C31" s="76" t="n"/>
      <c r="D31" s="75" t="n"/>
      <c r="E31" s="77" t="n"/>
      <c r="F31" s="76" t="n"/>
      <c r="G31" s="77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</row>
    <row r="32" ht="21" customHeight="1" s="28">
      <c r="A32" s="75" t="n"/>
      <c r="B32" s="75" t="n"/>
      <c r="C32" s="76" t="n"/>
      <c r="D32" s="75" t="n"/>
      <c r="E32" s="77" t="n"/>
      <c r="F32" s="76" t="n"/>
      <c r="G32" s="77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</row>
    <row r="33" ht="21" customHeight="1" s="28">
      <c r="A33" s="75" t="n"/>
      <c r="B33" s="75" t="n"/>
      <c r="C33" s="76" t="n"/>
      <c r="D33" s="75" t="n"/>
      <c r="E33" s="77" t="n"/>
      <c r="F33" s="76" t="n"/>
      <c r="G33" s="77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</row>
    <row r="34" ht="21" customHeight="1" s="28">
      <c r="A34" s="75" t="n"/>
      <c r="B34" s="75" t="n"/>
      <c r="C34" s="76" t="n"/>
      <c r="D34" s="75" t="n"/>
      <c r="E34" s="77" t="n"/>
      <c r="F34" s="76" t="n"/>
      <c r="G34" s="77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</row>
    <row r="35" ht="21" customHeight="1" s="28">
      <c r="A35" s="75" t="n"/>
      <c r="B35" s="75" t="n"/>
      <c r="C35" s="76" t="n"/>
      <c r="D35" s="75" t="n"/>
      <c r="E35" s="77" t="n"/>
      <c r="F35" s="76" t="n"/>
      <c r="G35" s="77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</row>
    <row r="36" ht="21" customHeight="1" s="28">
      <c r="A36" s="75" t="n"/>
      <c r="B36" s="75" t="n"/>
      <c r="C36" s="76" t="n"/>
      <c r="D36" s="75" t="n"/>
      <c r="E36" s="77" t="n"/>
      <c r="F36" s="76" t="n"/>
      <c r="G36" s="77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</row>
    <row r="37" ht="21" customHeight="1" s="28">
      <c r="A37" s="75" t="n"/>
      <c r="B37" s="75" t="n"/>
      <c r="C37" s="76" t="n"/>
      <c r="D37" s="75" t="n"/>
      <c r="E37" s="77" t="n"/>
      <c r="F37" s="76" t="n"/>
      <c r="G37" s="77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</row>
    <row r="38" ht="21" customHeight="1" s="28">
      <c r="A38" s="75" t="n"/>
      <c r="B38" s="75" t="n"/>
      <c r="C38" s="76" t="n"/>
      <c r="D38" s="75" t="n"/>
      <c r="E38" s="77" t="n"/>
      <c r="F38" s="76" t="n"/>
      <c r="G38" s="77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</row>
    <row r="39" ht="21" customHeight="1" s="28">
      <c r="A39" s="75" t="n"/>
      <c r="B39" s="75" t="n"/>
      <c r="C39" s="76" t="n"/>
      <c r="D39" s="75" t="n"/>
      <c r="E39" s="77" t="n"/>
      <c r="F39" s="76" t="n"/>
      <c r="G39" s="77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</row>
    <row r="40" ht="21" customHeight="1" s="28">
      <c r="A40" s="75" t="n"/>
      <c r="B40" s="75" t="n"/>
      <c r="C40" s="76" t="n"/>
      <c r="D40" s="75" t="n"/>
      <c r="E40" s="77" t="n"/>
      <c r="F40" s="76" t="n"/>
      <c r="G40" s="77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</row>
    <row r="41" ht="21" customHeight="1" s="28">
      <c r="A41" s="75" t="n"/>
      <c r="B41" s="75" t="n"/>
      <c r="C41" s="76" t="n"/>
      <c r="D41" s="75" t="n"/>
      <c r="E41" s="77" t="n"/>
      <c r="F41" s="76" t="n"/>
      <c r="G41" s="77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</row>
    <row r="42" ht="21" customHeight="1" s="28">
      <c r="A42" s="75" t="n"/>
      <c r="B42" s="75" t="n"/>
      <c r="C42" s="76" t="n"/>
      <c r="D42" s="75" t="n"/>
      <c r="E42" s="77" t="n"/>
      <c r="F42" s="76" t="n"/>
      <c r="G42" s="77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</row>
    <row r="43" ht="21" customHeight="1" s="28">
      <c r="A43" s="75" t="n"/>
      <c r="B43" s="75" t="n"/>
      <c r="C43" s="76" t="n"/>
      <c r="D43" s="75" t="n"/>
      <c r="E43" s="77" t="n"/>
      <c r="F43" s="76" t="n"/>
      <c r="G43" s="77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</row>
    <row r="44" ht="21" customHeight="1" s="28">
      <c r="A44" s="75" t="n"/>
      <c r="B44" s="75" t="n"/>
      <c r="C44" s="76" t="n"/>
      <c r="D44" s="75" t="n"/>
      <c r="E44" s="77" t="n"/>
      <c r="F44" s="76" t="n"/>
      <c r="G44" s="77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</row>
    <row r="45" ht="21" customHeight="1" s="28">
      <c r="A45" s="75" t="n"/>
      <c r="B45" s="75" t="n"/>
      <c r="C45" s="76" t="n"/>
      <c r="D45" s="75" t="n"/>
      <c r="E45" s="77" t="n"/>
      <c r="F45" s="76" t="n"/>
      <c r="G45" s="77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</row>
    <row r="46" ht="21" customHeight="1" s="28">
      <c r="A46" s="75" t="n"/>
      <c r="B46" s="75" t="n"/>
      <c r="C46" s="76" t="n"/>
      <c r="D46" s="75" t="n"/>
      <c r="E46" s="77" t="n"/>
      <c r="F46" s="76" t="n"/>
      <c r="G46" s="77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</row>
    <row r="47" ht="21" customHeight="1" s="28">
      <c r="A47" s="75" t="n"/>
      <c r="B47" s="75" t="n"/>
      <c r="C47" s="76" t="n"/>
      <c r="D47" s="75" t="n"/>
      <c r="E47" s="77" t="n"/>
      <c r="F47" s="76" t="n"/>
      <c r="G47" s="77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</row>
    <row r="48" ht="21" customHeight="1" s="28">
      <c r="A48" s="75" t="n"/>
      <c r="B48" s="75" t="n"/>
      <c r="C48" s="76" t="n"/>
      <c r="D48" s="75" t="n"/>
      <c r="E48" s="77" t="n"/>
      <c r="F48" s="76" t="n"/>
      <c r="G48" s="77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</row>
    <row r="49" ht="21" customHeight="1" s="28">
      <c r="A49" s="75" t="n"/>
      <c r="B49" s="75" t="n"/>
      <c r="C49" s="76" t="n"/>
      <c r="D49" s="75" t="n"/>
      <c r="E49" s="77" t="n"/>
      <c r="F49" s="76" t="n"/>
      <c r="G49" s="77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</row>
    <row r="50" ht="21" customHeight="1" s="28">
      <c r="A50" s="75" t="n"/>
      <c r="B50" s="75" t="n"/>
      <c r="C50" s="76" t="n"/>
      <c r="D50" s="75" t="n"/>
      <c r="E50" s="77" t="n"/>
      <c r="F50" s="76" t="n"/>
      <c r="G50" s="77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</row>
    <row r="51" ht="21" customHeight="1" s="28">
      <c r="A51" s="75" t="n"/>
      <c r="B51" s="75" t="n"/>
      <c r="C51" s="76" t="n"/>
      <c r="D51" s="75" t="n"/>
      <c r="E51" s="77" t="n"/>
      <c r="F51" s="76" t="n"/>
      <c r="G51" s="77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</row>
    <row r="52" ht="21" customHeight="1" s="28">
      <c r="A52" s="75" t="n"/>
      <c r="B52" s="75" t="n"/>
      <c r="C52" s="76" t="n"/>
      <c r="D52" s="75" t="n"/>
      <c r="E52" s="77" t="n"/>
      <c r="F52" s="76" t="n"/>
      <c r="G52" s="77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</row>
    <row r="53" ht="21" customHeight="1" s="28">
      <c r="A53" s="75" t="n"/>
      <c r="B53" s="75" t="n"/>
      <c r="C53" s="76" t="n"/>
      <c r="D53" s="75" t="n"/>
      <c r="E53" s="77" t="n"/>
      <c r="F53" s="76" t="n"/>
      <c r="G53" s="77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</row>
    <row r="54" ht="21" customHeight="1" s="28">
      <c r="A54" s="75" t="n"/>
      <c r="B54" s="75" t="n"/>
      <c r="C54" s="76" t="n"/>
      <c r="D54" s="75" t="n"/>
      <c r="E54" s="77" t="n"/>
      <c r="F54" s="76" t="n"/>
      <c r="G54" s="77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</row>
    <row r="55" ht="21" customHeight="1" s="28">
      <c r="A55" s="75" t="n"/>
      <c r="B55" s="75" t="n"/>
      <c r="C55" s="76" t="n"/>
      <c r="D55" s="75" t="n"/>
      <c r="E55" s="77" t="n"/>
      <c r="F55" s="76" t="n"/>
      <c r="G55" s="77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</row>
    <row r="56" ht="21" customHeight="1" s="28">
      <c r="A56" s="75" t="n"/>
      <c r="B56" s="75" t="n"/>
      <c r="C56" s="76" t="n"/>
      <c r="D56" s="75" t="n"/>
      <c r="E56" s="77" t="n"/>
      <c r="F56" s="76" t="n"/>
      <c r="G56" s="77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</row>
    <row r="57" ht="21" customHeight="1" s="28">
      <c r="A57" s="75" t="n"/>
      <c r="B57" s="75" t="n"/>
      <c r="C57" s="76" t="n"/>
      <c r="D57" s="75" t="n"/>
      <c r="E57" s="77" t="n"/>
      <c r="F57" s="76" t="n"/>
      <c r="G57" s="77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</row>
    <row r="58" ht="21" customHeight="1" s="28">
      <c r="A58" s="75" t="n"/>
      <c r="B58" s="75" t="n"/>
      <c r="C58" s="76" t="n"/>
      <c r="D58" s="75" t="n"/>
      <c r="E58" s="77" t="n"/>
      <c r="F58" s="76" t="n"/>
      <c r="G58" s="77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</row>
    <row r="59" ht="21" customHeight="1" s="28">
      <c r="A59" s="75" t="n"/>
      <c r="B59" s="75" t="n"/>
      <c r="C59" s="76" t="n"/>
      <c r="D59" s="75" t="n"/>
      <c r="E59" s="77" t="n"/>
      <c r="F59" s="76" t="n"/>
      <c r="G59" s="77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</row>
    <row r="60" ht="21" customHeight="1" s="28">
      <c r="A60" s="75" t="n"/>
      <c r="B60" s="75" t="n"/>
      <c r="C60" s="76" t="n"/>
      <c r="D60" s="75" t="n"/>
      <c r="E60" s="77" t="n"/>
      <c r="F60" s="76" t="n"/>
      <c r="G60" s="77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</row>
    <row r="61" ht="21" customHeight="1" s="28">
      <c r="A61" s="75" t="n"/>
      <c r="B61" s="75" t="n"/>
      <c r="C61" s="76" t="n"/>
      <c r="D61" s="75" t="n"/>
      <c r="E61" s="77" t="n"/>
      <c r="F61" s="76" t="n"/>
      <c r="G61" s="77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</row>
    <row r="62" ht="21" customHeight="1" s="28">
      <c r="A62" s="75" t="n"/>
      <c r="B62" s="75" t="n"/>
      <c r="C62" s="76" t="n"/>
      <c r="D62" s="75" t="n"/>
      <c r="E62" s="77" t="n"/>
      <c r="F62" s="76" t="n"/>
      <c r="G62" s="77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</row>
    <row r="63" ht="21" customHeight="1" s="28">
      <c r="A63" s="75" t="n"/>
      <c r="B63" s="75" t="n"/>
      <c r="C63" s="76" t="n"/>
      <c r="D63" s="75" t="n"/>
      <c r="E63" s="77" t="n"/>
      <c r="F63" s="76" t="n"/>
      <c r="G63" s="77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</row>
    <row r="64" ht="21" customHeight="1" s="28">
      <c r="A64" s="75" t="n"/>
      <c r="B64" s="75" t="n"/>
      <c r="C64" s="76" t="n"/>
      <c r="D64" s="75" t="n"/>
      <c r="E64" s="77" t="n"/>
      <c r="F64" s="76" t="n"/>
      <c r="G64" s="77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</row>
    <row r="65" ht="21" customHeight="1" s="28">
      <c r="A65" s="75" t="n"/>
      <c r="B65" s="75" t="n"/>
      <c r="C65" s="76" t="n"/>
      <c r="D65" s="75" t="n"/>
      <c r="E65" s="77" t="n"/>
      <c r="F65" s="76" t="n"/>
      <c r="G65" s="77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</row>
    <row r="66" ht="21" customHeight="1" s="28">
      <c r="A66" s="75" t="n"/>
      <c r="B66" s="75" t="n"/>
      <c r="C66" s="76" t="n"/>
      <c r="D66" s="75" t="n"/>
      <c r="E66" s="77" t="n"/>
      <c r="F66" s="76" t="n"/>
      <c r="G66" s="77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</row>
    <row r="67" ht="21" customHeight="1" s="28">
      <c r="A67" s="75" t="n"/>
      <c r="B67" s="75" t="n"/>
      <c r="C67" s="76" t="n"/>
      <c r="D67" s="75" t="n"/>
      <c r="E67" s="77" t="n"/>
      <c r="F67" s="76" t="n"/>
      <c r="G67" s="77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</row>
    <row r="68" ht="21" customHeight="1" s="28">
      <c r="A68" s="75" t="n"/>
      <c r="B68" s="75" t="n"/>
      <c r="C68" s="76" t="n"/>
      <c r="D68" s="75" t="n"/>
      <c r="E68" s="77" t="n"/>
      <c r="F68" s="76" t="n"/>
      <c r="G68" s="77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</row>
    <row r="69" ht="21" customHeight="1" s="28">
      <c r="A69" s="75" t="n"/>
      <c r="B69" s="75" t="n"/>
      <c r="C69" s="76" t="n"/>
      <c r="D69" s="75" t="n"/>
      <c r="E69" s="77" t="n"/>
      <c r="F69" s="76" t="n"/>
      <c r="G69" s="77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</row>
    <row r="70" ht="21" customHeight="1" s="28">
      <c r="A70" s="75" t="n"/>
      <c r="B70" s="75" t="n"/>
      <c r="C70" s="76" t="n"/>
      <c r="D70" s="75" t="n"/>
      <c r="E70" s="77" t="n"/>
      <c r="F70" s="76" t="n"/>
      <c r="G70" s="77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</row>
  </sheetData>
  <autoFilter ref="A4:G16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00B6D7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27" min="1" max="31"/>
  </cols>
  <sheetData>
    <row r="1" ht="21" customHeight="1" s="28">
      <c r="A1" s="84" t="inlineStr">
        <is>
          <t>Cohort Retention Detail</t>
        </is>
      </c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</row>
    <row r="2" ht="21" customHeight="1" s="28">
      <c r="A2" s="75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</row>
    <row r="3" ht="21" customHeight="1" s="28">
      <c r="A3" s="75" t="inlineStr">
        <is>
          <t>Cohort</t>
        </is>
      </c>
      <c r="B3" s="75" t="inlineStr">
        <is>
          <t>M+0</t>
        </is>
      </c>
      <c r="C3" s="75" t="inlineStr">
        <is>
          <t>M+1</t>
        </is>
      </c>
      <c r="D3" s="75" t="inlineStr">
        <is>
          <t>M+2</t>
        </is>
      </c>
      <c r="E3" s="75" t="inlineStr">
        <is>
          <t>M+3</t>
        </is>
      </c>
      <c r="F3" s="75" t="inlineStr">
        <is>
          <t>M+4</t>
        </is>
      </c>
      <c r="G3" s="75" t="inlineStr">
        <is>
          <t>M+5</t>
        </is>
      </c>
      <c r="H3" s="75" t="inlineStr">
        <is>
          <t>M+6</t>
        </is>
      </c>
      <c r="I3" s="75" t="inlineStr">
        <is>
          <t>M+7</t>
        </is>
      </c>
      <c r="J3" s="75" t="inlineStr">
        <is>
          <t>M+8</t>
        </is>
      </c>
      <c r="K3" s="75" t="inlineStr">
        <is>
          <t>M+9</t>
        </is>
      </c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</row>
    <row r="4" ht="21" customHeight="1" s="28">
      <c r="A4" s="85" t="n">
        <v>46023</v>
      </c>
      <c r="B4" s="86">
        <f>MAX(0.2,1-(0*0.06)-(0*0.008))</f>
        <v/>
      </c>
      <c r="C4" s="86">
        <f>MAX(0.2,1-(1*0.06)-(0*0.008))</f>
        <v/>
      </c>
      <c r="D4" s="86">
        <f>MAX(0.2,1-(2*0.06)-(0*0.008))</f>
        <v/>
      </c>
      <c r="E4" s="86">
        <f>MAX(0.2,1-(3*0.06)-(0*0.008))</f>
        <v/>
      </c>
      <c r="F4" s="86">
        <f>MAX(0.2,1-(4*0.06)-(0*0.008))</f>
        <v/>
      </c>
      <c r="G4" s="86">
        <f>MAX(0.2,1-(5*0.06)-(0*0.008))</f>
        <v/>
      </c>
      <c r="H4" s="86">
        <f>MAX(0.2,1-(6*0.06)-(0*0.008))</f>
        <v/>
      </c>
      <c r="I4" s="86">
        <f>MAX(0.2,1-(7*0.06)-(0*0.008))</f>
        <v/>
      </c>
      <c r="J4" s="86">
        <f>MAX(0.2,1-(8*0.06)-(0*0.008))</f>
        <v/>
      </c>
      <c r="K4" s="86">
        <f>MAX(0.2,1-(9*0.06)-(0*0.008))</f>
        <v/>
      </c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</row>
    <row r="5" ht="21" customHeight="1" s="28">
      <c r="A5" s="85" t="n">
        <v>46054</v>
      </c>
      <c r="B5" s="86">
        <f>MAX(0.2,1-(0*0.06)-(1*0.008))</f>
        <v/>
      </c>
      <c r="C5" s="86">
        <f>MAX(0.2,1-(1*0.06)-(1*0.008))</f>
        <v/>
      </c>
      <c r="D5" s="86">
        <f>MAX(0.2,1-(2*0.06)-(1*0.008))</f>
        <v/>
      </c>
      <c r="E5" s="86">
        <f>MAX(0.2,1-(3*0.06)-(1*0.008))</f>
        <v/>
      </c>
      <c r="F5" s="86">
        <f>MAX(0.2,1-(4*0.06)-(1*0.008))</f>
        <v/>
      </c>
      <c r="G5" s="86">
        <f>MAX(0.2,1-(5*0.06)-(1*0.008))</f>
        <v/>
      </c>
      <c r="H5" s="86">
        <f>MAX(0.2,1-(6*0.06)-(1*0.008))</f>
        <v/>
      </c>
      <c r="I5" s="86">
        <f>MAX(0.2,1-(7*0.06)-(1*0.008))</f>
        <v/>
      </c>
      <c r="J5" s="86">
        <f>MAX(0.2,1-(8*0.06)-(1*0.008))</f>
        <v/>
      </c>
      <c r="K5" s="86">
        <f>MAX(0.2,1-(9*0.06)-(1*0.008))</f>
        <v/>
      </c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</row>
    <row r="6" ht="21" customHeight="1" s="28">
      <c r="A6" s="85" t="n">
        <v>46082</v>
      </c>
      <c r="B6" s="86">
        <f>MAX(0.2,1-(0*0.06)-(2*0.008))</f>
        <v/>
      </c>
      <c r="C6" s="86">
        <f>MAX(0.2,1-(1*0.06)-(2*0.008))</f>
        <v/>
      </c>
      <c r="D6" s="86">
        <f>MAX(0.2,1-(2*0.06)-(2*0.008))</f>
        <v/>
      </c>
      <c r="E6" s="86">
        <f>MAX(0.2,1-(3*0.06)-(2*0.008))</f>
        <v/>
      </c>
      <c r="F6" s="86">
        <f>MAX(0.2,1-(4*0.06)-(2*0.008))</f>
        <v/>
      </c>
      <c r="G6" s="86">
        <f>MAX(0.2,1-(5*0.06)-(2*0.008))</f>
        <v/>
      </c>
      <c r="H6" s="86">
        <f>MAX(0.2,1-(6*0.06)-(2*0.008))</f>
        <v/>
      </c>
      <c r="I6" s="86">
        <f>MAX(0.2,1-(7*0.06)-(2*0.008))</f>
        <v/>
      </c>
      <c r="J6" s="86">
        <f>MAX(0.2,1-(8*0.06)-(2*0.008))</f>
        <v/>
      </c>
      <c r="K6" s="86">
        <f>MAX(0.2,1-(9*0.06)-(2*0.008))</f>
        <v/>
      </c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</row>
    <row r="7" ht="21" customHeight="1" s="28">
      <c r="A7" s="85" t="n">
        <v>46113</v>
      </c>
      <c r="B7" s="86">
        <f>MAX(0.2,1-(0*0.06)-(3*0.008))</f>
        <v/>
      </c>
      <c r="C7" s="86">
        <f>MAX(0.2,1-(1*0.06)-(3*0.008))</f>
        <v/>
      </c>
      <c r="D7" s="86">
        <f>MAX(0.2,1-(2*0.06)-(3*0.008))</f>
        <v/>
      </c>
      <c r="E7" s="86">
        <f>MAX(0.2,1-(3*0.06)-(3*0.008))</f>
        <v/>
      </c>
      <c r="F7" s="86">
        <f>MAX(0.2,1-(4*0.06)-(3*0.008))</f>
        <v/>
      </c>
      <c r="G7" s="86">
        <f>MAX(0.2,1-(5*0.06)-(3*0.008))</f>
        <v/>
      </c>
      <c r="H7" s="86">
        <f>MAX(0.2,1-(6*0.06)-(3*0.008))</f>
        <v/>
      </c>
      <c r="I7" s="86">
        <f>MAX(0.2,1-(7*0.06)-(3*0.008))</f>
        <v/>
      </c>
      <c r="J7" s="86">
        <f>MAX(0.2,1-(8*0.06)-(3*0.008))</f>
        <v/>
      </c>
      <c r="K7" s="86">
        <f>MAX(0.2,1-(9*0.06)-(3*0.008))</f>
        <v/>
      </c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</row>
    <row r="8" ht="21" customHeight="1" s="28">
      <c r="A8" s="85" t="n">
        <v>46143</v>
      </c>
      <c r="B8" s="86">
        <f>MAX(0.2,1-(0*0.06)-(4*0.008))</f>
        <v/>
      </c>
      <c r="C8" s="86">
        <f>MAX(0.2,1-(1*0.06)-(4*0.008))</f>
        <v/>
      </c>
      <c r="D8" s="86">
        <f>MAX(0.2,1-(2*0.06)-(4*0.008))</f>
        <v/>
      </c>
      <c r="E8" s="86">
        <f>MAX(0.2,1-(3*0.06)-(4*0.008))</f>
        <v/>
      </c>
      <c r="F8" s="86">
        <f>MAX(0.2,1-(4*0.06)-(4*0.008))</f>
        <v/>
      </c>
      <c r="G8" s="86">
        <f>MAX(0.2,1-(5*0.06)-(4*0.008))</f>
        <v/>
      </c>
      <c r="H8" s="86">
        <f>MAX(0.2,1-(6*0.06)-(4*0.008))</f>
        <v/>
      </c>
      <c r="I8" s="86">
        <f>MAX(0.2,1-(7*0.06)-(4*0.008))</f>
        <v/>
      </c>
      <c r="J8" s="86">
        <f>MAX(0.2,1-(8*0.06)-(4*0.008))</f>
        <v/>
      </c>
      <c r="K8" s="86">
        <f>MAX(0.2,1-(9*0.06)-(4*0.008))</f>
        <v/>
      </c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</row>
    <row r="9" ht="21" customHeight="1" s="28">
      <c r="A9" s="85" t="n">
        <v>46174</v>
      </c>
      <c r="B9" s="86">
        <f>MAX(0.2,1-(0*0.06)-(5*0.008))</f>
        <v/>
      </c>
      <c r="C9" s="86">
        <f>MAX(0.2,1-(1*0.06)-(5*0.008))</f>
        <v/>
      </c>
      <c r="D9" s="86">
        <f>MAX(0.2,1-(2*0.06)-(5*0.008))</f>
        <v/>
      </c>
      <c r="E9" s="86">
        <f>MAX(0.2,1-(3*0.06)-(5*0.008))</f>
        <v/>
      </c>
      <c r="F9" s="86">
        <f>MAX(0.2,1-(4*0.06)-(5*0.008))</f>
        <v/>
      </c>
      <c r="G9" s="86">
        <f>MAX(0.2,1-(5*0.06)-(5*0.008))</f>
        <v/>
      </c>
      <c r="H9" s="86">
        <f>MAX(0.2,1-(6*0.06)-(5*0.008))</f>
        <v/>
      </c>
      <c r="I9" s="86">
        <f>MAX(0.2,1-(7*0.06)-(5*0.008))</f>
        <v/>
      </c>
      <c r="J9" s="86">
        <f>MAX(0.2,1-(8*0.06)-(5*0.008))</f>
        <v/>
      </c>
      <c r="K9" s="86">
        <f>MAX(0.2,1-(9*0.06)-(5*0.008))</f>
        <v/>
      </c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</row>
    <row r="10" ht="21" customHeight="1" s="28">
      <c r="A10" s="85" t="n">
        <v>46204</v>
      </c>
      <c r="B10" s="86">
        <f>MAX(0.2,1-(0*0.06)-(6*0.008))</f>
        <v/>
      </c>
      <c r="C10" s="86">
        <f>MAX(0.2,1-(1*0.06)-(6*0.008))</f>
        <v/>
      </c>
      <c r="D10" s="86">
        <f>MAX(0.2,1-(2*0.06)-(6*0.008))</f>
        <v/>
      </c>
      <c r="E10" s="86">
        <f>MAX(0.2,1-(3*0.06)-(6*0.008))</f>
        <v/>
      </c>
      <c r="F10" s="86">
        <f>MAX(0.2,1-(4*0.06)-(6*0.008))</f>
        <v/>
      </c>
      <c r="G10" s="86">
        <f>MAX(0.2,1-(5*0.06)-(6*0.008))</f>
        <v/>
      </c>
      <c r="H10" s="86">
        <f>MAX(0.2,1-(6*0.06)-(6*0.008))</f>
        <v/>
      </c>
      <c r="I10" s="86">
        <f>MAX(0.2,1-(7*0.06)-(6*0.008))</f>
        <v/>
      </c>
      <c r="J10" s="86">
        <f>MAX(0.2,1-(8*0.06)-(6*0.008))</f>
        <v/>
      </c>
      <c r="K10" s="86">
        <f>MAX(0.2,1-(9*0.06)-(6*0.008))</f>
        <v/>
      </c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</row>
    <row r="11" ht="21" customHeight="1" s="28">
      <c r="A11" s="85" t="n">
        <v>46235</v>
      </c>
      <c r="B11" s="86">
        <f>MAX(0.2,1-(0*0.06)-(7*0.008))</f>
        <v/>
      </c>
      <c r="C11" s="86">
        <f>MAX(0.2,1-(1*0.06)-(7*0.008))</f>
        <v/>
      </c>
      <c r="D11" s="86">
        <f>MAX(0.2,1-(2*0.06)-(7*0.008))</f>
        <v/>
      </c>
      <c r="E11" s="86">
        <f>MAX(0.2,1-(3*0.06)-(7*0.008))</f>
        <v/>
      </c>
      <c r="F11" s="86">
        <f>MAX(0.2,1-(4*0.06)-(7*0.008))</f>
        <v/>
      </c>
      <c r="G11" s="86">
        <f>MAX(0.2,1-(5*0.06)-(7*0.008))</f>
        <v/>
      </c>
      <c r="H11" s="86">
        <f>MAX(0.2,1-(6*0.06)-(7*0.008))</f>
        <v/>
      </c>
      <c r="I11" s="86">
        <f>MAX(0.2,1-(7*0.06)-(7*0.008))</f>
        <v/>
      </c>
      <c r="J11" s="86">
        <f>MAX(0.2,1-(8*0.06)-(7*0.008))</f>
        <v/>
      </c>
      <c r="K11" s="86">
        <f>MAX(0.2,1-(9*0.06)-(7*0.008))</f>
        <v/>
      </c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</row>
    <row r="12" ht="21" customHeight="1" s="28">
      <c r="A12" s="85" t="n">
        <v>46266</v>
      </c>
      <c r="B12" s="86">
        <f>MAX(0.2,1-(0*0.06)-(8*0.008))</f>
        <v/>
      </c>
      <c r="C12" s="86">
        <f>MAX(0.2,1-(1*0.06)-(8*0.008))</f>
        <v/>
      </c>
      <c r="D12" s="86">
        <f>MAX(0.2,1-(2*0.06)-(8*0.008))</f>
        <v/>
      </c>
      <c r="E12" s="86">
        <f>MAX(0.2,1-(3*0.06)-(8*0.008))</f>
        <v/>
      </c>
      <c r="F12" s="86">
        <f>MAX(0.2,1-(4*0.06)-(8*0.008))</f>
        <v/>
      </c>
      <c r="G12" s="86">
        <f>MAX(0.2,1-(5*0.06)-(8*0.008))</f>
        <v/>
      </c>
      <c r="H12" s="86">
        <f>MAX(0.2,1-(6*0.06)-(8*0.008))</f>
        <v/>
      </c>
      <c r="I12" s="86">
        <f>MAX(0.2,1-(7*0.06)-(8*0.008))</f>
        <v/>
      </c>
      <c r="J12" s="86">
        <f>MAX(0.2,1-(8*0.06)-(8*0.008))</f>
        <v/>
      </c>
      <c r="K12" s="86">
        <f>MAX(0.2,1-(9*0.06)-(8*0.008))</f>
        <v/>
      </c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</row>
    <row r="13" ht="21" customHeight="1" s="28">
      <c r="A13" s="85" t="n">
        <v>46296</v>
      </c>
      <c r="B13" s="86">
        <f>MAX(0.2,1-(0*0.06)-(9*0.008))</f>
        <v/>
      </c>
      <c r="C13" s="86">
        <f>MAX(0.2,1-(1*0.06)-(9*0.008))</f>
        <v/>
      </c>
      <c r="D13" s="86">
        <f>MAX(0.2,1-(2*0.06)-(9*0.008))</f>
        <v/>
      </c>
      <c r="E13" s="86">
        <f>MAX(0.2,1-(3*0.06)-(9*0.008))</f>
        <v/>
      </c>
      <c r="F13" s="86">
        <f>MAX(0.2,1-(4*0.06)-(9*0.008))</f>
        <v/>
      </c>
      <c r="G13" s="86">
        <f>MAX(0.2,1-(5*0.06)-(9*0.008))</f>
        <v/>
      </c>
      <c r="H13" s="86">
        <f>MAX(0.2,1-(6*0.06)-(9*0.008))</f>
        <v/>
      </c>
      <c r="I13" s="86">
        <f>MAX(0.2,1-(7*0.06)-(9*0.008))</f>
        <v/>
      </c>
      <c r="J13" s="86">
        <f>MAX(0.2,1-(8*0.06)-(9*0.008))</f>
        <v/>
      </c>
      <c r="K13" s="86">
        <f>MAX(0.2,1-(9*0.06)-(9*0.008))</f>
        <v/>
      </c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</row>
    <row r="14" ht="21" customHeight="1" s="28">
      <c r="A14" s="85" t="n">
        <v>46327</v>
      </c>
      <c r="B14" s="86">
        <f>MAX(0.2,1-(0*0.06)-(10*0.008))</f>
        <v/>
      </c>
      <c r="C14" s="86">
        <f>MAX(0.2,1-(1*0.06)-(10*0.008))</f>
        <v/>
      </c>
      <c r="D14" s="86">
        <f>MAX(0.2,1-(2*0.06)-(10*0.008))</f>
        <v/>
      </c>
      <c r="E14" s="86">
        <f>MAX(0.2,1-(3*0.06)-(10*0.008))</f>
        <v/>
      </c>
      <c r="F14" s="86">
        <f>MAX(0.2,1-(4*0.06)-(10*0.008))</f>
        <v/>
      </c>
      <c r="G14" s="86">
        <f>MAX(0.2,1-(5*0.06)-(10*0.008))</f>
        <v/>
      </c>
      <c r="H14" s="86">
        <f>MAX(0.2,1-(6*0.06)-(10*0.008))</f>
        <v/>
      </c>
      <c r="I14" s="86">
        <f>MAX(0.2,1-(7*0.06)-(10*0.008))</f>
        <v/>
      </c>
      <c r="J14" s="86">
        <f>MAX(0.2,1-(8*0.06)-(10*0.008))</f>
        <v/>
      </c>
      <c r="K14" s="86">
        <f>MAX(0.2,1-(9*0.06)-(10*0.008))</f>
        <v/>
      </c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</row>
    <row r="15" ht="21" customHeight="1" s="28">
      <c r="A15" s="85" t="n">
        <v>46357</v>
      </c>
      <c r="B15" s="86">
        <f>MAX(0.2,1-(0*0.06)-(11*0.008))</f>
        <v/>
      </c>
      <c r="C15" s="86">
        <f>MAX(0.2,1-(1*0.06)-(11*0.008))</f>
        <v/>
      </c>
      <c r="D15" s="86">
        <f>MAX(0.2,1-(2*0.06)-(11*0.008))</f>
        <v/>
      </c>
      <c r="E15" s="86">
        <f>MAX(0.2,1-(3*0.06)-(11*0.008))</f>
        <v/>
      </c>
      <c r="F15" s="86">
        <f>MAX(0.2,1-(4*0.06)-(11*0.008))</f>
        <v/>
      </c>
      <c r="G15" s="86">
        <f>MAX(0.2,1-(5*0.06)-(11*0.008))</f>
        <v/>
      </c>
      <c r="H15" s="86">
        <f>MAX(0.2,1-(6*0.06)-(11*0.008))</f>
        <v/>
      </c>
      <c r="I15" s="86">
        <f>MAX(0.2,1-(7*0.06)-(11*0.008))</f>
        <v/>
      </c>
      <c r="J15" s="86">
        <f>MAX(0.2,1-(8*0.06)-(11*0.008))</f>
        <v/>
      </c>
      <c r="K15" s="86">
        <f>MAX(0.2,1-(9*0.06)-(11*0.008))</f>
        <v/>
      </c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</row>
    <row r="16" ht="21" customHeight="1" s="28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</row>
    <row r="17" ht="21" customHeight="1" s="28">
      <c r="A17" s="75" t="n"/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</row>
    <row r="18" ht="21" customHeight="1" s="28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</row>
    <row r="19" ht="21" customHeight="1" s="28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</row>
    <row r="20" ht="21" customHeight="1" s="28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</row>
    <row r="21" ht="21" customHeight="1" s="28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</row>
    <row r="22" ht="21" customHeight="1" s="28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</row>
    <row r="23" ht="21" customHeight="1" s="28">
      <c r="A23" s="75" t="n"/>
      <c r="B23" s="75" t="n"/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</row>
    <row r="24" ht="21" customHeight="1" s="28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</row>
    <row r="25" ht="21" customHeight="1" s="28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</row>
    <row r="26" ht="21" customHeight="1" s="28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</row>
    <row r="27" ht="21" customHeight="1" s="28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</row>
    <row r="28" ht="21" customHeight="1" s="28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</row>
    <row r="29" ht="21" customHeight="1" s="28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</row>
    <row r="30" ht="21" customHeight="1" s="28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</row>
    <row r="31" ht="21" customHeight="1" s="28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</row>
    <row r="32" ht="21" customHeight="1" s="28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</row>
    <row r="33" ht="21" customHeight="1" s="28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</row>
    <row r="34" ht="21" customHeight="1" s="28">
      <c r="A34" s="75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</row>
    <row r="35" ht="21" customHeight="1" s="28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</row>
    <row r="36" ht="21" customHeight="1" s="28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</row>
    <row r="37" ht="21" customHeight="1" s="28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</row>
    <row r="38" ht="21" customHeight="1" s="28">
      <c r="A38" s="7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</row>
    <row r="39" ht="21" customHeight="1" s="28">
      <c r="A39" s="7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</row>
    <row r="40" ht="21" customHeight="1" s="28">
      <c r="A40" s="7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</row>
    <row r="41" ht="21" customHeight="1" s="28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</row>
    <row r="42" ht="21" customHeight="1" s="28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</row>
    <row r="43" ht="21" customHeight="1" s="28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</row>
    <row r="44" ht="21" customHeight="1" s="28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</row>
    <row r="45" ht="21" customHeight="1" s="28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</row>
    <row r="46" ht="21" customHeight="1" s="28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</row>
    <row r="47" ht="21" customHeight="1" s="28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</row>
    <row r="48" ht="21" customHeight="1" s="28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</row>
    <row r="49" ht="21" customHeight="1" s="28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</row>
    <row r="50" ht="21" customHeight="1" s="28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</row>
    <row r="51" ht="21" customHeight="1" s="28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</row>
    <row r="52" ht="21" customHeight="1" s="28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</row>
    <row r="53" ht="21" customHeight="1" s="28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</row>
    <row r="54" ht="21" customHeight="1" s="28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</row>
    <row r="55" ht="21" customHeight="1" s="28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</row>
    <row r="56" ht="21" customHeight="1" s="28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</row>
    <row r="57" ht="21" customHeight="1" s="28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</row>
    <row r="58" ht="21" customHeight="1" s="28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</row>
    <row r="59" ht="21" customHeight="1" s="28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</row>
    <row r="60" ht="21" customHeight="1" s="28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</row>
    <row r="61" ht="21" customHeight="1" s="28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</row>
    <row r="62" ht="21" customHeight="1" s="28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</row>
    <row r="63" ht="21" customHeight="1" s="28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</row>
    <row r="64" ht="21" customHeight="1" s="28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</row>
    <row r="65" ht="21" customHeight="1" s="28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</row>
    <row r="66" ht="21" customHeight="1" s="28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</row>
    <row r="67" ht="21" customHeight="1" s="28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</row>
    <row r="68" ht="21" customHeight="1" s="28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</row>
    <row r="69" ht="21" customHeight="1" s="28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</row>
    <row r="70" ht="21" customHeight="1" s="28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</row>
  </sheetData>
  <conditionalFormatting sqref="B4:K15">
    <cfRule type="colorScale" priority="2">
      <colorScale>
        <cfvo type="num" val="0.3"/>
        <cfvo type="num" val="0.65"/>
        <cfvo type="num" val="0.95"/>
        <color rgb="FFF8696B"/>
        <color rgb="FFFFEB84"/>
        <color rgb="FF63BE7B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FDBFF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27" min="1" max="31"/>
  </cols>
  <sheetData>
    <row r="1" ht="21" customHeight="1" s="28">
      <c r="A1" s="75" t="n"/>
      <c r="B1" s="75" t="n"/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5" t="n"/>
      <c r="V1" s="75" t="n"/>
      <c r="W1" s="75" t="n"/>
      <c r="X1" s="75" t="n"/>
      <c r="Y1" s="75" t="n"/>
      <c r="Z1" s="75" t="n"/>
      <c r="AA1" s="75" t="n"/>
      <c r="AB1" s="75" t="n"/>
      <c r="AC1" s="75" t="n"/>
      <c r="AD1" s="75" t="n"/>
    </row>
    <row r="2" ht="21" customHeight="1" s="28">
      <c r="A2" s="75" t="n"/>
      <c r="B2" s="75" t="n"/>
      <c r="C2" s="75" t="n"/>
      <c r="D2" s="75" t="n"/>
      <c r="E2" s="75" t="n"/>
      <c r="F2" s="75" t="n"/>
      <c r="G2" s="75" t="n"/>
      <c r="H2" s="75" t="n"/>
      <c r="I2" s="75" t="n"/>
      <c r="J2" s="75" t="n"/>
      <c r="K2" s="75" t="n"/>
      <c r="L2" s="75" t="n"/>
      <c r="M2" s="75" t="n"/>
      <c r="N2" s="75" t="n"/>
      <c r="O2" s="75" t="n"/>
      <c r="P2" s="75" t="n"/>
      <c r="Q2" s="75" t="n"/>
      <c r="R2" s="75" t="n"/>
      <c r="S2" s="75" t="n"/>
      <c r="T2" s="75" t="n"/>
      <c r="U2" s="75" t="n"/>
      <c r="V2" s="75" t="n"/>
      <c r="W2" s="75" t="n"/>
      <c r="X2" s="75" t="n"/>
      <c r="Y2" s="75" t="n"/>
      <c r="Z2" s="75" t="n"/>
      <c r="AA2" s="75" t="n"/>
      <c r="AB2" s="75" t="n"/>
      <c r="AC2" s="75" t="n"/>
      <c r="AD2" s="75" t="n"/>
    </row>
    <row r="3" ht="21" customHeight="1" s="28">
      <c r="A3" s="75" t="n"/>
      <c r="B3" s="78" t="inlineStr">
        <is>
          <t>Assumption</t>
        </is>
      </c>
      <c r="C3" s="78" t="inlineStr">
        <is>
          <t>Input</t>
        </is>
      </c>
      <c r="D3" s="78" t="inlineStr">
        <is>
          <t>Unit</t>
        </is>
      </c>
      <c r="E3" s="78" t="inlineStr">
        <is>
          <t>Owner</t>
        </is>
      </c>
      <c r="F3" s="75" t="n"/>
      <c r="G3" s="75" t="n"/>
      <c r="H3" s="75" t="n"/>
      <c r="I3" s="75" t="n"/>
      <c r="J3" s="75" t="n"/>
      <c r="K3" s="75" t="n"/>
      <c r="L3" s="75" t="n"/>
      <c r="M3" s="75" t="n"/>
      <c r="N3" s="75" t="n"/>
      <c r="O3" s="75" t="n"/>
      <c r="P3" s="75" t="n"/>
      <c r="Q3" s="75" t="n"/>
      <c r="R3" s="75" t="n"/>
      <c r="S3" s="75" t="n"/>
      <c r="T3" s="75" t="n"/>
      <c r="U3" s="75" t="n"/>
      <c r="V3" s="75" t="n"/>
      <c r="W3" s="75" t="n"/>
      <c r="X3" s="75" t="n"/>
      <c r="Y3" s="75" t="n"/>
      <c r="Z3" s="75" t="n"/>
      <c r="AA3" s="75" t="n"/>
      <c r="AB3" s="75" t="n"/>
      <c r="AC3" s="75" t="n"/>
      <c r="AD3" s="75" t="n"/>
    </row>
    <row r="4" ht="21" customHeight="1" s="28">
      <c r="A4" s="75" t="n"/>
      <c r="B4" s="81" t="inlineStr">
        <is>
          <t>Starting MRR</t>
        </is>
      </c>
      <c r="C4" s="81" t="n">
        <v>185000</v>
      </c>
      <c r="D4" s="81" t="inlineStr">
        <is>
          <t>USD</t>
        </is>
      </c>
      <c r="E4" s="81" t="inlineStr">
        <is>
          <t>Finance</t>
        </is>
      </c>
      <c r="F4" s="75" t="n"/>
      <c r="G4" s="75" t="n"/>
      <c r="H4" s="75" t="n"/>
      <c r="I4" s="75" t="n"/>
      <c r="J4" s="75" t="n"/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</row>
    <row r="5" ht="21" customHeight="1" s="28">
      <c r="A5" s="75" t="n"/>
      <c r="B5" s="81" t="inlineStr">
        <is>
          <t>New Logo Growth</t>
        </is>
      </c>
      <c r="C5" s="81" t="n">
        <v>0.12</v>
      </c>
      <c r="D5" s="81" t="inlineStr">
        <is>
          <t>%</t>
        </is>
      </c>
      <c r="E5" s="81" t="inlineStr">
        <is>
          <t>RevOps</t>
        </is>
      </c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</row>
    <row r="6" ht="21" customHeight="1" s="28">
      <c r="A6" s="75" t="n"/>
      <c r="B6" s="81" t="inlineStr">
        <is>
          <t>Expansion Rate</t>
        </is>
      </c>
      <c r="C6" s="81" t="n">
        <v>0.04</v>
      </c>
      <c r="D6" s="81" t="inlineStr">
        <is>
          <t>%</t>
        </is>
      </c>
      <c r="E6" s="81" t="inlineStr">
        <is>
          <t>CS</t>
        </is>
      </c>
      <c r="F6" s="75" t="n"/>
      <c r="G6" s="75" t="n"/>
      <c r="H6" s="75" t="n"/>
      <c r="I6" s="75" t="n"/>
      <c r="J6" s="75" t="n"/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</row>
    <row r="7" ht="21" customHeight="1" s="28">
      <c r="A7" s="75" t="n"/>
      <c r="B7" s="81" t="inlineStr">
        <is>
          <t>Gross Churn</t>
        </is>
      </c>
      <c r="C7" s="81" t="n">
        <v>0.026</v>
      </c>
      <c r="D7" s="81" t="inlineStr">
        <is>
          <t>%</t>
        </is>
      </c>
      <c r="E7" s="81" t="inlineStr">
        <is>
          <t>CS</t>
        </is>
      </c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</row>
    <row r="8" ht="21" customHeight="1" s="28">
      <c r="A8" s="75" t="n"/>
      <c r="B8" s="75" t="n"/>
      <c r="C8" s="75" t="n"/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</row>
    <row r="9" ht="21" customHeight="1" s="28">
      <c r="A9" s="75" t="n"/>
      <c r="B9" s="75" t="n"/>
      <c r="C9" s="75" t="n"/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</row>
    <row r="10" ht="21" customHeight="1" s="28">
      <c r="A10" s="75" t="n"/>
      <c r="B10" s="75" t="n"/>
      <c r="C10" s="75" t="n"/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</row>
    <row r="11" ht="21" customHeight="1" s="28">
      <c r="A11" s="75" t="n"/>
      <c r="B11" s="75" t="n"/>
      <c r="C11" s="75" t="n"/>
      <c r="D11" s="75" t="n"/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</row>
    <row r="12" ht="21" customHeight="1" s="28">
      <c r="A12" s="75" t="n"/>
      <c r="B12" s="75" t="n"/>
      <c r="C12" s="75" t="n"/>
      <c r="D12" s="75" t="n"/>
      <c r="E12" s="75" t="n"/>
      <c r="F12" s="75" t="n"/>
      <c r="G12" s="75" t="n"/>
      <c r="H12" s="75" t="n"/>
      <c r="I12" s="75" t="n"/>
      <c r="J12" s="7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</row>
    <row r="13" ht="21" customHeight="1" s="28">
      <c r="A13" s="75" t="n"/>
      <c r="B13" s="75" t="n"/>
      <c r="C13" s="75" t="n"/>
      <c r="D13" s="75" t="n"/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</row>
    <row r="14" ht="21" customHeight="1" s="28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</row>
    <row r="15" ht="21" customHeight="1" s="28">
      <c r="A15" s="75" t="n"/>
      <c r="B15" s="75" t="n"/>
      <c r="C15" s="75" t="n"/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</row>
    <row r="16" ht="21" customHeight="1" s="28">
      <c r="A16" s="75" t="n"/>
      <c r="B16" s="75" t="n"/>
      <c r="C16" s="75" t="n"/>
      <c r="D16" s="75" t="n"/>
      <c r="E16" s="75" t="n"/>
      <c r="F16" s="75" t="n"/>
      <c r="G16" s="75" t="n"/>
      <c r="H16" s="75" t="n"/>
      <c r="I16" s="75" t="n"/>
      <c r="J16" s="7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</row>
    <row r="17" ht="21" customHeight="1" s="28">
      <c r="A17" s="75" t="n"/>
      <c r="B17" s="75" t="n"/>
      <c r="C17" s="75" t="n"/>
      <c r="D17" s="75" t="n"/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</row>
    <row r="18" ht="21" customHeight="1" s="28">
      <c r="A18" s="75" t="n"/>
      <c r="B18" s="75" t="n"/>
      <c r="C18" s="75" t="n"/>
      <c r="D18" s="75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</row>
    <row r="19" ht="21" customHeight="1" s="28">
      <c r="A19" s="75" t="n"/>
      <c r="B19" s="75" t="n"/>
      <c r="C19" s="75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</row>
    <row r="20" ht="21" customHeight="1" s="28">
      <c r="A20" s="75" t="n"/>
      <c r="B20" s="75" t="n"/>
      <c r="C20" s="75" t="n"/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</row>
    <row r="21" ht="21" customHeight="1" s="28">
      <c r="A21" s="75" t="n"/>
      <c r="B21" s="75" t="n"/>
      <c r="C21" s="75" t="n"/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</row>
    <row r="22" ht="21" customHeight="1" s="28">
      <c r="A22" s="75" t="n"/>
      <c r="B22" s="75" t="n"/>
      <c r="C22" s="75" t="n"/>
      <c r="D22" s="75" t="n"/>
      <c r="E22" s="75" t="n"/>
      <c r="F22" s="75" t="n"/>
      <c r="G22" s="75" t="n"/>
      <c r="H22" s="75" t="n"/>
      <c r="I22" s="75" t="n"/>
      <c r="J22" s="7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</row>
    <row r="23" ht="21" customHeight="1" s="28">
      <c r="A23" s="75" t="n"/>
      <c r="B23" s="75" t="n"/>
      <c r="C23" s="75" t="n"/>
      <c r="D23" s="75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</row>
    <row r="24" ht="21" customHeight="1" s="28">
      <c r="A24" s="75" t="n"/>
      <c r="B24" s="75" t="n"/>
      <c r="C24" s="75" t="n"/>
      <c r="D24" s="75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</row>
    <row r="25" ht="21" customHeight="1" s="28">
      <c r="A25" s="75" t="n"/>
      <c r="B25" s="75" t="n"/>
      <c r="C25" s="75" t="n"/>
      <c r="D25" s="75" t="n"/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</row>
    <row r="26" ht="21" customHeight="1" s="28">
      <c r="A26" s="75" t="n"/>
      <c r="B26" s="75" t="n"/>
      <c r="C26" s="75" t="n"/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</row>
    <row r="27" ht="21" customHeight="1" s="28">
      <c r="A27" s="75" t="n"/>
      <c r="B27" s="75" t="n"/>
      <c r="C27" s="75" t="n"/>
      <c r="D27" s="75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</row>
    <row r="28" ht="21" customHeight="1" s="28">
      <c r="A28" s="75" t="n"/>
      <c r="B28" s="75" t="n"/>
      <c r="C28" s="75" t="n"/>
      <c r="D28" s="75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</row>
    <row r="29" ht="21" customHeight="1" s="28">
      <c r="A29" s="75" t="n"/>
      <c r="B29" s="75" t="n"/>
      <c r="C29" s="75" t="n"/>
      <c r="D29" s="75" t="n"/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</row>
    <row r="30" ht="21" customHeight="1" s="28">
      <c r="A30" s="75" t="n"/>
      <c r="B30" s="75" t="n"/>
      <c r="C30" s="75" t="n"/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</row>
    <row r="31" ht="21" customHeight="1" s="28">
      <c r="A31" s="75" t="n"/>
      <c r="B31" s="75" t="n"/>
      <c r="C31" s="75" t="n"/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</row>
    <row r="32" ht="21" customHeight="1" s="28">
      <c r="A32" s="75" t="n"/>
      <c r="B32" s="75" t="n"/>
      <c r="C32" s="75" t="n"/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</row>
    <row r="33" ht="21" customHeight="1" s="28">
      <c r="A33" s="75" t="n"/>
      <c r="B33" s="75" t="n"/>
      <c r="C33" s="75" t="n"/>
      <c r="D33" s="75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</row>
    <row r="34" ht="21" customHeight="1" s="28">
      <c r="A34" s="75" t="n"/>
      <c r="B34" s="75" t="n"/>
      <c r="C34" s="75" t="n"/>
      <c r="D34" s="75" t="n"/>
      <c r="E34" s="75" t="n"/>
      <c r="F34" s="75" t="n"/>
      <c r="G34" s="75" t="n"/>
      <c r="H34" s="75" t="n"/>
      <c r="I34" s="75" t="n"/>
      <c r="J34" s="7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</row>
    <row r="35" ht="21" customHeight="1" s="28">
      <c r="A35" s="7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</row>
    <row r="36" ht="21" customHeight="1" s="28">
      <c r="A36" s="7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</row>
    <row r="37" ht="21" customHeight="1" s="28">
      <c r="A37" s="7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</row>
    <row r="38" ht="21" customHeight="1" s="28">
      <c r="A38" s="7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</row>
    <row r="39" ht="21" customHeight="1" s="28">
      <c r="A39" s="7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</row>
    <row r="40" ht="21" customHeight="1" s="28">
      <c r="A40" s="7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</row>
    <row r="41" ht="21" customHeight="1" s="28">
      <c r="A41" s="7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</row>
    <row r="42" ht="21" customHeight="1" s="28">
      <c r="A42" s="7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</row>
    <row r="43" ht="21" customHeight="1" s="28">
      <c r="A43" s="7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</row>
    <row r="44" ht="21" customHeight="1" s="28">
      <c r="A44" s="7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</row>
    <row r="45" ht="21" customHeight="1" s="28">
      <c r="A45" s="7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</row>
    <row r="46" ht="21" customHeight="1" s="28">
      <c r="A46" s="7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</row>
    <row r="47" ht="21" customHeight="1" s="28">
      <c r="A47" s="7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</row>
    <row r="48" ht="21" customHeight="1" s="28">
      <c r="A48" s="7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</row>
    <row r="49" ht="21" customHeight="1" s="28">
      <c r="A49" s="7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</row>
    <row r="50" ht="21" customHeight="1" s="28">
      <c r="A50" s="7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</row>
    <row r="51" ht="21" customHeight="1" s="28">
      <c r="A51" s="7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</row>
    <row r="52" ht="21" customHeight="1" s="28">
      <c r="A52" s="7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</row>
    <row r="53" ht="21" customHeight="1" s="28">
      <c r="A53" s="7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</row>
    <row r="54" ht="21" customHeight="1" s="28">
      <c r="A54" s="7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</row>
    <row r="55" ht="21" customHeight="1" s="28">
      <c r="A55" s="7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</row>
    <row r="56" ht="21" customHeight="1" s="28">
      <c r="A56" s="7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</row>
    <row r="57" ht="21" customHeight="1" s="28">
      <c r="A57" s="7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</row>
    <row r="58" ht="21" customHeight="1" s="28">
      <c r="A58" s="7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</row>
    <row r="59" ht="21" customHeight="1" s="28">
      <c r="A59" s="7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</row>
    <row r="60" ht="21" customHeight="1" s="28">
      <c r="A60" s="7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</row>
    <row r="61" ht="21" customHeight="1" s="28">
      <c r="A61" s="7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</row>
    <row r="62" ht="21" customHeight="1" s="28">
      <c r="A62" s="7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</row>
    <row r="63" ht="21" customHeight="1" s="28">
      <c r="A63" s="7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</row>
    <row r="64" ht="21" customHeight="1" s="28">
      <c r="A64" s="7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</row>
    <row r="65" ht="21" customHeight="1" s="28">
      <c r="A65" s="7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</row>
    <row r="66" ht="21" customHeight="1" s="28">
      <c r="A66" s="7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</row>
    <row r="67" ht="21" customHeight="1" s="28">
      <c r="A67" s="7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</row>
    <row r="68" ht="21" customHeight="1" s="28">
      <c r="A68" s="7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</row>
    <row r="69" ht="21" customHeight="1" s="28">
      <c r="A69" s="7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</row>
    <row r="70" ht="21" customHeight="1" s="28">
      <c r="A70" s="7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</row>
  </sheetData>
  <autoFilter ref="B3:E7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2026-08-10T09:58:06Z</dcterms:created>
  <dcterms:modified xsi:type="dcterms:W3CDTF">2026-08-10T10:41:48Z</dcterms:modified>
  <cp:revision>3</cp:revision>
</cp:coreProperties>
</file>