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tudy Protocol" sheetId="1" state="visible" r:id="rId1"/>
    <sheet name="Sample Registry" sheetId="2" state="visible" r:id="rId2"/>
    <sheet name="QC Analysis" sheetId="3" state="visible" r:id="rId3"/>
    <sheet name="Results" sheetId="4" state="visible" r:id="rId4"/>
  </sheets>
  <definedNames>
    <definedName name="_xlnm.Print_Area" localSheetId="0">'Study Protocol'!$B$2:$H$27</definedName>
    <definedName name="_xlnm._FilterDatabase" localSheetId="1" hidden="1">'Sample Registry'!$A$2:$E$18</definedName>
    <definedName name="_xlnm._FilterDatabase" localSheetId="3" hidden="1">'Results'!$A$2:$D$6</definedName>
  </definedNames>
  <calcPr calcId="124519" calcMode="auto" fullCalcOnLoad="1" refMode="A1" iterate="0" iterateCount="100" iterateDelta="0.0001" forceFullCalc="1"/>
</workbook>
</file>

<file path=xl/styles.xml><?xml version="1.0" encoding="utf-8"?>
<styleSheet xmlns="http://schemas.openxmlformats.org/spreadsheetml/2006/main">
  <numFmts count="1">
    <numFmt numFmtId="164" formatCode="yyyy\-mm\-dd"/>
  </numFmts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rgb="FF000000"/>
      <sz val="10"/>
    </font>
    <font>
      <name val="Times New Roman"/>
      <charset val="1"/>
      <family val="0"/>
      <b val="1"/>
      <color rgb="FF0B6B4F"/>
      <sz val="22"/>
    </font>
    <font>
      <name val="Times New Roman"/>
      <charset val="1"/>
      <family val="0"/>
      <b val="1"/>
      <color rgb="FF0B6B4F"/>
      <sz val="11"/>
    </font>
    <font>
      <name val="Arial"/>
      <charset val="1"/>
      <family val="0"/>
      <b val="1"/>
      <color rgb="FFFFFFFF"/>
      <sz val="10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Georgia"/>
      <b val="1"/>
      <color rgb="00205B3A"/>
      <sz val="18"/>
    </font>
  </fonts>
  <fills count="5">
    <fill>
      <patternFill/>
    </fill>
    <fill>
      <patternFill patternType="gray125"/>
    </fill>
    <fill>
      <patternFill patternType="solid">
        <fgColor rgb="FFFFFFFF"/>
        <bgColor rgb="FFE8F5F0"/>
      </patternFill>
    </fill>
    <fill>
      <patternFill patternType="solid">
        <fgColor rgb="FFE8F5F0"/>
        <bgColor rgb="FFFFFFFF"/>
      </patternFill>
    </fill>
    <fill>
      <patternFill patternType="solid">
        <fgColor rgb="FF335C67"/>
        <bgColor rgb="FF0B6B4F"/>
      </patternFill>
    </fill>
  </fills>
  <borders count="11">
    <border>
      <left/>
      <right/>
      <top/>
      <bottom/>
      <diagonal/>
    </border>
    <border>
      <left style="thin">
        <color rgb="FFE8F5F0"/>
      </left>
      <right style="thin">
        <color rgb="FFE8F5F0"/>
      </right>
      <top style="thin">
        <color rgb="FFE8F5F0"/>
      </top>
      <bottom style="thin">
        <color rgb="FFE8F5F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E2EA"/>
      </left>
      <right style="thin">
        <color rgb="FFD9E2EA"/>
      </right>
      <top style="thin">
        <color rgb="FFD9E2EA"/>
      </top>
      <bottom style="thin">
        <color rgb="FFD9E2EA"/>
      </bottom>
      <diagonal/>
    </border>
    <border>
      <left/>
      <right/>
      <top style="thin">
        <color rgb="FFE8F5F0"/>
      </top>
      <bottom/>
      <diagonal/>
    </border>
    <border>
      <left style="thin">
        <color rgb="FFE8F5F0"/>
      </left>
      <right/>
      <top/>
      <bottom/>
      <diagonal/>
    </border>
    <border>
      <left/>
      <right style="thin">
        <color rgb="FFE8F5F0"/>
      </right>
      <top style="thin">
        <color rgb="FFE8F5F0"/>
      </top>
      <bottom/>
      <diagonal/>
    </border>
    <border>
      <left/>
      <right style="thin">
        <color rgb="FFE8F5F0"/>
      </right>
      <top/>
      <bottom/>
      <diagonal/>
    </border>
    <border>
      <left style="thin">
        <color rgb="FFE8F5F0"/>
      </left>
      <right/>
      <top/>
      <bottom style="thin">
        <color rgb="FFE8F5F0"/>
      </bottom>
      <diagonal/>
    </border>
    <border>
      <left/>
      <right/>
      <top/>
      <bottom style="thin">
        <color rgb="FFE8F5F0"/>
      </bottom>
      <diagonal/>
    </border>
    <border>
      <left/>
      <right style="thin">
        <color rgb="FFE8F5F0"/>
      </right>
      <top/>
      <bottom style="thin">
        <color rgb="FFE8F5F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left" vertical="center" wrapText="1"/>
    </xf>
    <xf numFmtId="164" fontId="4" fillId="2" borderId="3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left" vertical="center" shrinkToFit="1"/>
    </xf>
    <xf numFmtId="0" fontId="6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7" fillId="4" borderId="2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left" vertical="center" wrapText="1"/>
    </xf>
    <xf numFmtId="164" fontId="4" fillId="2" borderId="3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335C6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8F67"/>
      <rgbColor rgb="FFC0C0C0"/>
      <rgbColor rgb="FF878787"/>
      <rgbColor rgb="FF9999FF"/>
      <rgbColor rgb="FFBE4B48"/>
      <rgbColor rgb="FFFFFFCC"/>
      <rgbColor rgb="FFE8F5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B6B4F"/>
      <rgbColor rgb="FF0000FF"/>
      <rgbColor rgb="FF00CCFF"/>
      <rgbColor rgb="FFD9E2EA"/>
      <rgbColor rgb="FFCDEDE1"/>
      <rgbColor rgb="FFFFFF99"/>
      <rgbColor rgb="FF99CCFF"/>
      <rgbColor rgb="FFFF99CC"/>
      <rgbColor rgb="FFCC99FF"/>
      <rgbColor rgb="FFFFCC99"/>
      <rgbColor rgb="FF3366FF"/>
      <rgbColor rgb="FF70C1A1"/>
      <rgbColor rgb="FF98B855"/>
      <rgbColor rgb="FFFFCC00"/>
      <rgbColor rgb="FFFF9900"/>
      <rgbColor rgb="FFFF6600"/>
      <rgbColor rgb="FF7D5FA0"/>
      <rgbColor rgb="FF969696"/>
      <rgbColor rgb="FF003366"/>
      <rgbColor rgb="FF339966"/>
      <rgbColor rgb="FF003300"/>
      <rgbColor rgb="FF333300"/>
      <rgbColor rgb="FF993300"/>
      <rgbColor rgb="FF993366"/>
      <rgbColor rgb="FF335C67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300" b="0" strike="noStrike">
                <a:uFillTx/>
                <a:latin typeface="DejaVu Sans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QC Scatter with Control Limits</a:t>
            </a:r>
          </a:p>
        </rich>
      </tx>
      <overlay val="0"/>
      <spPr>
        <a:noFill/>
        <a:ln w="0">
          <a:noFill/>
          <a:prstDash val="solid"/>
        </a:ln>
      </spPr>
    </title>
    <plotArea>
      <scatterChart>
        <scatterStyle val="line"/>
        <varyColors val="0"/>
        <ser>
          <idx val="0"/>
          <order val="0"/>
          <tx>
            <strRef>
              <f>"OD600"</f>
              <strCache>
                <ptCount val="1"/>
                <pt idx="0">
                  <v>OD600</v>
                </pt>
              </strCache>
            </strRef>
          </tx>
          <spPr>
            <a:solidFill>
              <a:srgbClr val="99ccff"/>
            </a:solidFill>
            <a:ln w="28440">
              <a:noFill/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DejaVu Sans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xVal>
            <numRef>
              <f>'QC Analysis'!$A$3:$A$22</f>
              <numCache>
                <formatCode>General</formatCode>
                <ptCount val="2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</numCache>
            </numRef>
          </xVal>
          <yVal>
            <numRef>
              <f>'QC Analysis'!$B$3:$B$22</f>
              <numCache>
                <formatCode>General</formatCode>
                <ptCount val="20"/>
                <pt idx="0">
                  <v>0.72</v>
                </pt>
                <pt idx="1">
                  <v>0.758354043088336</v>
                </pt>
                <pt idx="2">
                  <v>0.787317678784632</v>
                </pt>
                <pt idx="3">
                  <v>0.799799598928324</v>
                </pt>
                <pt idx="4">
                  <v>0.792743794146055</v>
                </pt>
                <pt idx="5">
                  <v>0.767877771528317</v>
                </pt>
                <pt idx="6">
                  <v>0.731289600644789</v>
                </pt>
                <pt idx="7">
                  <v>0.69193734178483</v>
                </pt>
                <pt idx="8">
                  <v>0.659455800375366</v>
                </pt>
                <pt idx="9">
                  <v>0.641797590586792</v>
                </pt>
                <pt idx="10">
                  <v>0.643286058026949</v>
                </pt>
                <pt idx="11">
                  <v>0.663556773954369</v>
                </pt>
                <pt idx="12">
                  <v>0.697646760144086</v>
                </pt>
                <pt idx="13">
                  <v>0.737209599047025</v>
                </pt>
                <pt idx="14">
                  <v>0.772558927897503</v>
                </pt>
                <pt idx="15">
                  <v>0.795039998141979</v>
                </pt>
                <pt idx="16">
                  <v>0.799148659729871</v>
                </pt>
                <pt idx="17">
                  <v>0.783878969009879</v>
                </pt>
                <pt idx="18">
                  <v>0.752969478819341</v>
                </pt>
                <pt idx="19">
                  <v>0.713987910363055</v>
                </pt>
              </numCache>
            </numRef>
          </yVal>
          <smooth val="1"/>
        </ser>
        <ser>
          <idx val="1"/>
          <order val="1"/>
          <tx>
            <strRef>
              <f>"Lower CL"</f>
              <strCache>
                <ptCount val="1"/>
                <pt idx="0">
                  <v>Lower CL</v>
                </pt>
              </strCache>
            </strRef>
          </tx>
          <spPr>
            <a:solidFill>
              <a:srgbClr val="be4b48"/>
            </a:solidFill>
            <a:ln w="28440">
              <a:solidFill>
                <a:srgbClr val="be4b48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DejaVu Sans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xVal>
            <numRef>
              <f>'QC Analysis'!$A$3:$A$22</f>
              <numCache>
                <formatCode>General</formatCode>
                <ptCount val="2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</numCache>
            </numRef>
          </xVal>
          <yVal>
            <numRef>
              <f>'QC Analysis'!$C$3:$C$22</f>
              <numCache>
                <formatCode>General</formatCode>
                <ptCount val="20"/>
                <pt idx="0">
                  <v>0.62</v>
                </pt>
                <pt idx="1">
                  <v>0.62</v>
                </pt>
                <pt idx="2">
                  <v>0.62</v>
                </pt>
                <pt idx="3">
                  <v>0.62</v>
                </pt>
                <pt idx="4">
                  <v>0.62</v>
                </pt>
                <pt idx="5">
                  <v>0.62</v>
                </pt>
                <pt idx="6">
                  <v>0.62</v>
                </pt>
                <pt idx="7">
                  <v>0.62</v>
                </pt>
                <pt idx="8">
                  <v>0.62</v>
                </pt>
                <pt idx="9">
                  <v>0.62</v>
                </pt>
                <pt idx="10">
                  <v>0.62</v>
                </pt>
                <pt idx="11">
                  <v>0.62</v>
                </pt>
                <pt idx="12">
                  <v>0.62</v>
                </pt>
                <pt idx="13">
                  <v>0.62</v>
                </pt>
                <pt idx="14">
                  <v>0.62</v>
                </pt>
                <pt idx="15">
                  <v>0.62</v>
                </pt>
                <pt idx="16">
                  <v>0.62</v>
                </pt>
                <pt idx="17">
                  <v>0.62</v>
                </pt>
                <pt idx="18">
                  <v>0.62</v>
                </pt>
                <pt idx="19">
                  <v>0.62</v>
                </pt>
              </numCache>
            </numRef>
          </yVal>
          <smooth val="1"/>
        </ser>
        <ser>
          <idx val="2"/>
          <order val="2"/>
          <tx>
            <strRef>
              <f>"Target"</f>
              <strCache>
                <ptCount val="1"/>
                <pt idx="0">
                  <v>Target</v>
                </pt>
              </strCache>
            </strRef>
          </tx>
          <spPr>
            <a:solidFill>
              <a:srgbClr val="98b855"/>
            </a:solidFill>
            <a:ln w="28440">
              <a:solidFill>
                <a:srgbClr val="98b855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DejaVu Sans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xVal>
            <numRef>
              <f>'QC Analysis'!$A$3:$A$22</f>
              <numCache>
                <formatCode>General</formatCode>
                <ptCount val="2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</numCache>
            </numRef>
          </xVal>
          <yVal>
            <numRef>
              <f>'QC Analysis'!$D$3:$D$22</f>
              <numCache>
                <formatCode>General</formatCode>
                <ptCount val="20"/>
                <pt idx="0">
                  <v>0.72</v>
                </pt>
                <pt idx="1">
                  <v>0.72</v>
                </pt>
                <pt idx="2">
                  <v>0.72</v>
                </pt>
                <pt idx="3">
                  <v>0.72</v>
                </pt>
                <pt idx="4">
                  <v>0.72</v>
                </pt>
                <pt idx="5">
                  <v>0.72</v>
                </pt>
                <pt idx="6">
                  <v>0.72</v>
                </pt>
                <pt idx="7">
                  <v>0.72</v>
                </pt>
                <pt idx="8">
                  <v>0.72</v>
                </pt>
                <pt idx="9">
                  <v>0.72</v>
                </pt>
                <pt idx="10">
                  <v>0.72</v>
                </pt>
                <pt idx="11">
                  <v>0.72</v>
                </pt>
                <pt idx="12">
                  <v>0.72</v>
                </pt>
                <pt idx="13">
                  <v>0.72</v>
                </pt>
                <pt idx="14">
                  <v>0.72</v>
                </pt>
                <pt idx="15">
                  <v>0.72</v>
                </pt>
                <pt idx="16">
                  <v>0.72</v>
                </pt>
                <pt idx="17">
                  <v>0.72</v>
                </pt>
                <pt idx="18">
                  <v>0.72</v>
                </pt>
                <pt idx="19">
                  <v>0.72</v>
                </pt>
              </numCache>
            </numRef>
          </yVal>
          <smooth val="1"/>
        </ser>
        <ser>
          <idx val="3"/>
          <order val="3"/>
          <tx>
            <strRef>
              <f>"Upper CL"</f>
              <strCache>
                <ptCount val="1"/>
                <pt idx="0">
                  <v>Upper CL</v>
                </pt>
              </strCache>
            </strRef>
          </tx>
          <spPr>
            <a:solidFill>
              <a:srgbClr val="7d5fa0"/>
            </a:solidFill>
            <a:ln w="28440">
              <a:solidFill>
                <a:srgbClr val="7d5fa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DejaVu Sans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xVal>
            <numRef>
              <f>'QC Analysis'!$A$3:$A$22</f>
              <numCache>
                <formatCode>General</formatCode>
                <ptCount val="2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</numCache>
            </numRef>
          </xVal>
          <yVal>
            <numRef>
              <f>'QC Analysis'!$E$3:$E$22</f>
              <numCache>
                <formatCode>General</formatCode>
                <ptCount val="20"/>
                <pt idx="0">
                  <v>0.82</v>
                </pt>
                <pt idx="1">
                  <v>0.82</v>
                </pt>
                <pt idx="2">
                  <v>0.82</v>
                </pt>
                <pt idx="3">
                  <v>0.82</v>
                </pt>
                <pt idx="4">
                  <v>0.82</v>
                </pt>
                <pt idx="5">
                  <v>0.82</v>
                </pt>
                <pt idx="6">
                  <v>0.82</v>
                </pt>
                <pt idx="7">
                  <v>0.82</v>
                </pt>
                <pt idx="8">
                  <v>0.82</v>
                </pt>
                <pt idx="9">
                  <v>0.82</v>
                </pt>
                <pt idx="10">
                  <v>0.82</v>
                </pt>
                <pt idx="11">
                  <v>0.82</v>
                </pt>
                <pt idx="12">
                  <v>0.82</v>
                </pt>
                <pt idx="13">
                  <v>0.82</v>
                </pt>
                <pt idx="14">
                  <v>0.82</v>
                </pt>
                <pt idx="15">
                  <v>0.82</v>
                </pt>
                <pt idx="16">
                  <v>0.82</v>
                </pt>
                <pt idx="17">
                  <v>0.82</v>
                </pt>
                <pt idx="18">
                  <v>0.82</v>
                </pt>
                <pt idx="19">
                  <v>0.82</v>
                </pt>
              </numCache>
            </numRef>
          </yVal>
          <smooth val="1"/>
        </ser>
        <axId val="39297385"/>
        <axId val="4846190"/>
      </scatterChart>
      <valAx>
        <axId val="39297385"/>
        <scaling>
          <orientation val="minMax"/>
        </scaling>
        <delete val="0"/>
        <axPos val="b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General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4846190"/>
        <crosses val="autoZero"/>
        <crossBetween val="midCat"/>
      </valAx>
      <valAx>
        <axId val="4846190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General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39297385"/>
        <crosses val="autoZero"/>
        <crossBetween val="midCat"/>
      </valAx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6</col>
      <colOff>0</colOff>
      <row>2</row>
      <rowOff>0</rowOff>
    </from>
    <to>
      <col>10</col>
      <colOff>416160</colOff>
      <row>12</row>
      <rowOff>212040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SampleRegistry21" displayName="TSampleRegistry21" ref="A2:E18" headerRowCount="1" totalsRowCount="0" totalsRowShown="0">
  <autoFilter ref="A2:E18"/>
  <tableColumns count="5">
    <tableColumn id="1" name="Sample ID"/>
    <tableColumn id="2" name="Collection Date"/>
    <tableColumn id="3" name="Dose µM"/>
    <tableColumn id="4" name="Status"/>
    <tableColumn id="5" name="Operator"/>
  </tableColumns>
</table>
</file>

<file path=xl/tables/table2.xml><?xml version="1.0" encoding="utf-8"?>
<table xmlns="http://schemas.openxmlformats.org/spreadsheetml/2006/main" id="2" name="TResults21" displayName="TResults21" ref="A2:D6" headerRowCount="1" totalsRowCount="0" totalsRowShown="0">
  <autoFilter ref="A2:D6"/>
  <tableColumns count="4">
    <tableColumn id="1" name="Dose µM"/>
    <tableColumn id="2" name="Mean OD600"/>
    <tableColumn id="3" name="Reduction"/>
    <tableColumn id="4" name="Conclusio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 filterMode="0">
    <tabColor rgb="FF0E8F67"/>
    <outlinePr summaryBelow="1" summaryRight="1"/>
    <pageSetUpPr fitToPage="1"/>
  </sheetPr>
  <dimension ref="A1:AD7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21" customHeight="1" zeroHeight="0" outlineLevelRow="0"/>
  <cols>
    <col width="13" customWidth="1" style="8" min="1" max="31"/>
    <col width="15" customWidth="1" style="9" min="2" max="2"/>
    <col width="15" customWidth="1" style="9" min="3" max="3"/>
    <col width="15" customWidth="1" style="9" min="4" max="4"/>
    <col width="15" customWidth="1" style="9" min="5" max="5"/>
    <col width="15" customWidth="1" style="9" min="6" max="6"/>
    <col width="15" customWidth="1" style="9" min="7" max="7"/>
    <col width="15" customWidth="1" style="9" min="8" max="8"/>
  </cols>
  <sheetData>
    <row r="1" ht="21" customHeight="1" s="9">
      <c r="A1" s="10" t="n"/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  <c r="AA1" s="10" t="n"/>
      <c r="AB1" s="10" t="n"/>
      <c r="AC1" s="10" t="n"/>
      <c r="AD1" s="10" t="n"/>
    </row>
    <row r="2" ht="30" customHeight="1" s="9">
      <c r="A2" s="10" t="n"/>
      <c r="B2" s="11" t="inlineStr">
        <is>
          <t>Verdant Laboratory Experiment Notebook</t>
        </is>
      </c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</row>
    <row r="3" ht="21" customHeight="1" s="9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  <c r="AD3" s="10" t="n"/>
    </row>
    <row r="4" ht="21" customHeight="1" s="9">
      <c r="A4" s="10" t="n"/>
      <c r="B4" s="12" t="inlineStr">
        <is>
          <t>Hypothesis
Biofilm inhibitor VX-17 reduces colony density under nutrient stress.</t>
        </is>
      </c>
      <c r="C4" s="13" t="n"/>
      <c r="D4" s="13" t="n"/>
      <c r="E4" s="13" t="n"/>
      <c r="F4" s="13" t="n"/>
      <c r="G4" s="13" t="n"/>
      <c r="H4" s="14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</row>
    <row r="5" ht="21" customHeight="1" s="9">
      <c r="A5" s="10" t="n"/>
      <c r="B5" s="15" t="n"/>
      <c r="H5" s="16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</row>
    <row r="6" ht="21" customHeight="1" s="9">
      <c r="A6" s="10" t="n"/>
      <c r="B6" s="15" t="n"/>
      <c r="H6" s="16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</row>
    <row r="7" ht="21" customHeight="1" s="9">
      <c r="A7" s="10" t="n"/>
      <c r="B7" s="17" t="n"/>
      <c r="C7" s="18" t="n"/>
      <c r="D7" s="18" t="n"/>
      <c r="E7" s="18" t="n"/>
      <c r="F7" s="18" t="n"/>
      <c r="G7" s="18" t="n"/>
      <c r="H7" s="19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</row>
    <row r="8" ht="21" customHeight="1" s="9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</row>
    <row r="9" ht="21" customHeight="1" s="9">
      <c r="A9" s="10" t="n"/>
      <c r="B9" s="12" t="inlineStr">
        <is>
          <t>Independent Variables
Dose (µM)
Exposure (hours)
Temperature (°C)</t>
        </is>
      </c>
      <c r="C9" s="13" t="n"/>
      <c r="D9" s="14" t="n"/>
      <c r="E9" s="10" t="n"/>
      <c r="F9" s="12" t="inlineStr">
        <is>
          <t>Measured Outputs
OD600
Colony count
QC flag</t>
        </is>
      </c>
      <c r="G9" s="13" t="n"/>
      <c r="H9" s="14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</row>
    <row r="10" ht="21" customHeight="1" s="9">
      <c r="A10" s="10" t="n"/>
      <c r="B10" s="15" t="n"/>
      <c r="D10" s="16" t="n"/>
      <c r="E10" s="10" t="n"/>
      <c r="F10" s="15" t="n"/>
      <c r="H10" s="16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</row>
    <row r="11" ht="21" customHeight="1" s="9">
      <c r="A11" s="10" t="n"/>
      <c r="B11" s="15" t="n"/>
      <c r="D11" s="16" t="n"/>
      <c r="E11" s="10" t="n"/>
      <c r="F11" s="15" t="n"/>
      <c r="H11" s="16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</row>
    <row r="12" ht="21" customHeight="1" s="9">
      <c r="A12" s="10" t="n"/>
      <c r="B12" s="15" t="n"/>
      <c r="D12" s="16" t="n"/>
      <c r="E12" s="10" t="n"/>
      <c r="F12" s="15" t="n"/>
      <c r="H12" s="16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</row>
    <row r="13" ht="21" customHeight="1" s="9">
      <c r="A13" s="10" t="n"/>
      <c r="B13" s="15" t="n"/>
      <c r="D13" s="16" t="n"/>
      <c r="E13" s="10" t="n"/>
      <c r="F13" s="15" t="n"/>
      <c r="H13" s="16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</row>
    <row r="14" ht="21" customHeight="1" s="9">
      <c r="A14" s="10" t="n"/>
      <c r="B14" s="17" t="n"/>
      <c r="C14" s="18" t="n"/>
      <c r="D14" s="19" t="n"/>
      <c r="E14" s="10" t="n"/>
      <c r="F14" s="17" t="n"/>
      <c r="G14" s="18" t="n"/>
      <c r="H14" s="19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</row>
    <row r="15" ht="21" customHeight="1" s="9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</row>
    <row r="16" ht="21" customHeight="1" s="9">
      <c r="A16" s="10" t="n"/>
      <c r="B16" s="12" t="inlineStr">
        <is>
          <t>Milestones
Protocol locked → Samples plated → QC review → Results signed</t>
        </is>
      </c>
      <c r="C16" s="13" t="n"/>
      <c r="D16" s="13" t="n"/>
      <c r="E16" s="13" t="n"/>
      <c r="F16" s="13" t="n"/>
      <c r="G16" s="13" t="n"/>
      <c r="H16" s="14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</row>
    <row r="17" ht="21" customHeight="1" s="9">
      <c r="A17" s="10" t="n"/>
      <c r="B17" s="15" t="n"/>
      <c r="H17" s="16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</row>
    <row r="18" ht="21" customHeight="1" s="9">
      <c r="A18" s="10" t="n"/>
      <c r="B18" s="15" t="n"/>
      <c r="H18" s="16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</row>
    <row r="19" ht="21" customHeight="1" s="9">
      <c r="A19" s="10" t="n"/>
      <c r="B19" s="15" t="n"/>
      <c r="H19" s="16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</row>
    <row r="20" ht="21" customHeight="1" s="9">
      <c r="A20" s="10" t="n"/>
      <c r="B20" s="17" t="n"/>
      <c r="C20" s="18" t="n"/>
      <c r="D20" s="18" t="n"/>
      <c r="E20" s="18" t="n"/>
      <c r="F20" s="18" t="n"/>
      <c r="G20" s="18" t="n"/>
      <c r="H20" s="19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</row>
    <row r="21" ht="21" customHeight="1" s="9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</row>
    <row r="22" ht="21" customHeight="1" s="9">
      <c r="A22" s="10" t="n"/>
      <c r="B22" s="12" t="inlineStr">
        <is>
          <t>Scientist Sign-off</t>
        </is>
      </c>
      <c r="C22" s="13" t="n"/>
      <c r="D22" s="14" t="n"/>
      <c r="E22" s="10" t="n"/>
      <c r="F22" s="12" t="inlineStr">
        <is>
          <t>QA Sign-off</t>
        </is>
      </c>
      <c r="G22" s="13" t="n"/>
      <c r="H22" s="14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</row>
    <row r="23" ht="21" customHeight="1" s="9">
      <c r="A23" s="10" t="n"/>
      <c r="B23" s="15" t="n"/>
      <c r="D23" s="16" t="n"/>
      <c r="E23" s="10" t="n"/>
      <c r="F23" s="15" t="n"/>
      <c r="H23" s="16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</row>
    <row r="24" ht="21" customHeight="1" s="9">
      <c r="A24" s="10" t="n"/>
      <c r="B24" s="15" t="n"/>
      <c r="D24" s="16" t="n"/>
      <c r="E24" s="10" t="n"/>
      <c r="F24" s="15" t="n"/>
      <c r="H24" s="16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</row>
    <row r="25" ht="21" customHeight="1" s="9">
      <c r="A25" s="10" t="n"/>
      <c r="B25" s="15" t="n"/>
      <c r="D25" s="16" t="n"/>
      <c r="E25" s="10" t="n"/>
      <c r="F25" s="15" t="n"/>
      <c r="H25" s="16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</row>
    <row r="26" ht="21" customHeight="1" s="9">
      <c r="A26" s="10" t="n"/>
      <c r="B26" s="17" t="n"/>
      <c r="C26" s="18" t="n"/>
      <c r="D26" s="19" t="n"/>
      <c r="E26" s="10" t="n"/>
      <c r="F26" s="17" t="n"/>
      <c r="G26" s="18" t="n"/>
      <c r="H26" s="19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</row>
    <row r="27" ht="21" customHeight="1" s="9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  <c r="AD27" s="10" t="n"/>
    </row>
    <row r="28" ht="21" customHeight="1" s="9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</row>
    <row r="29" ht="21" customHeight="1" s="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</row>
    <row r="30" ht="21" customHeight="1" s="9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</row>
    <row r="31" ht="21" customHeight="1" s="9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</row>
    <row r="32" ht="21" customHeight="1" s="9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</row>
    <row r="33" ht="21" customHeight="1" s="9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</row>
    <row r="34" ht="21" customHeight="1" s="9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</row>
    <row r="35" ht="21" customHeight="1" s="9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  <c r="AD35" s="10" t="n"/>
    </row>
    <row r="36" ht="21" customHeight="1" s="9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</row>
    <row r="37" ht="21" customHeight="1" s="9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  <c r="AD37" s="10" t="n"/>
    </row>
    <row r="38" ht="21" customHeight="1" s="9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</row>
    <row r="39" ht="21" customHeight="1" s="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</row>
    <row r="40" ht="21" customHeight="1" s="9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</row>
    <row r="41" ht="21" customHeight="1" s="9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  <c r="AD41" s="10" t="n"/>
    </row>
    <row r="42" ht="21" customHeight="1" s="9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n"/>
    </row>
    <row r="43" ht="21" customHeight="1" s="9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  <c r="AD43" s="10" t="n"/>
    </row>
    <row r="44" ht="21" customHeight="1" s="9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  <c r="AD44" s="10" t="n"/>
    </row>
    <row r="45" ht="21" customHeight="1" s="9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</row>
    <row r="46" ht="21" customHeight="1" s="9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</row>
    <row r="47" ht="21" customHeight="1" s="9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  <c r="AD47" s="10" t="n"/>
    </row>
    <row r="48" ht="21" customHeight="1" s="9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</row>
    <row r="49" ht="21" customHeight="1" s="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  <c r="AD49" s="10" t="n"/>
    </row>
    <row r="50" ht="21" customHeight="1" s="9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  <c r="AD50" s="10" t="n"/>
    </row>
    <row r="51" ht="21" customHeight="1" s="9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</row>
    <row r="52" ht="21" customHeight="1" s="9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  <c r="AD52" s="10" t="n"/>
    </row>
    <row r="53" ht="21" customHeight="1" s="9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  <c r="AD53" s="10" t="n"/>
    </row>
    <row r="54" ht="21" customHeight="1" s="9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</row>
    <row r="55" ht="21" customHeight="1" s="9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  <c r="AD55" s="10" t="n"/>
    </row>
    <row r="56" ht="21" customHeight="1" s="9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n"/>
    </row>
    <row r="57" ht="21" customHeight="1" s="9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</row>
    <row r="58" ht="21" customHeight="1" s="9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</row>
    <row r="59" ht="21" customHeight="1" s="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  <c r="AD59" s="10" t="n"/>
    </row>
    <row r="60" ht="21" customHeight="1" s="9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</row>
    <row r="61" ht="21" customHeight="1" s="9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  <c r="AD61" s="10" t="n"/>
    </row>
    <row r="62" ht="21" customHeight="1" s="9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  <c r="AD62" s="10" t="n"/>
    </row>
    <row r="63" ht="21" customHeight="1" s="9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  <c r="AD63" s="10" t="n"/>
    </row>
    <row r="64" ht="21" customHeight="1" s="9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  <c r="AD64" s="10" t="n"/>
    </row>
    <row r="65" ht="21" customHeight="1" s="9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  <c r="AD65" s="10" t="n"/>
    </row>
    <row r="66" ht="21" customHeight="1" s="9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  <c r="AD66" s="10" t="n"/>
    </row>
    <row r="67" ht="21" customHeight="1" s="9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</row>
    <row r="68" ht="21" customHeight="1" s="9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  <c r="AD68" s="10" t="n"/>
    </row>
    <row r="69" ht="21" customHeight="1" s="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  <c r="AD69" s="10" t="n"/>
    </row>
    <row r="70" ht="21" customHeight="1" s="9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  <c r="AD70" s="10" t="n"/>
    </row>
  </sheetData>
  <mergeCells count="7">
    <mergeCell ref="F22:H26"/>
    <mergeCell ref="B22:D26"/>
    <mergeCell ref="B9:D14"/>
    <mergeCell ref="B2:H2"/>
    <mergeCell ref="B4:H7"/>
    <mergeCell ref="F9:H14"/>
    <mergeCell ref="B16:H20"/>
  </mergeCells>
  <printOptions horizontalCentered="0" verticalCentered="0" headings="0" gridLines="0" gridLinesSet="1"/>
  <pageMargins left="0.2" right="0.2" top="0.25" bottom="0.2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70C1A1"/>
    <outlinePr summaryBelow="1" summaryRight="1"/>
    <pageSetUpPr fitToPage="1"/>
  </sheetPr>
  <dimension ref="A1:AD7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21" customHeight="1" zeroHeight="0" outlineLevelRow="0"/>
  <cols>
    <col width="13" customWidth="1" style="8" min="1" max="31"/>
  </cols>
  <sheetData>
    <row r="1" ht="21" customHeight="1" s="9">
      <c r="A1" s="10" t="n"/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  <c r="AA1" s="10" t="n"/>
      <c r="AB1" s="10" t="n"/>
      <c r="AC1" s="10" t="n"/>
      <c r="AD1" s="10" t="n"/>
    </row>
    <row r="2" ht="21" customHeight="1" s="9">
      <c r="A2" s="20" t="inlineStr">
        <is>
          <t>Sample ID</t>
        </is>
      </c>
      <c r="B2" s="20" t="inlineStr">
        <is>
          <t>Collection Date</t>
        </is>
      </c>
      <c r="C2" s="20" t="inlineStr">
        <is>
          <t>Dose µM</t>
        </is>
      </c>
      <c r="D2" s="20" t="inlineStr">
        <is>
          <t>Status</t>
        </is>
      </c>
      <c r="E2" s="20" t="inlineStr">
        <is>
          <t>Operator</t>
        </is>
      </c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</row>
    <row r="3" ht="21" customHeight="1" s="9">
      <c r="A3" s="21" t="inlineStr">
        <is>
          <t>VX-100</t>
        </is>
      </c>
      <c r="B3" s="22" t="n">
        <v>46143</v>
      </c>
      <c r="C3" s="21" t="n">
        <v>0</v>
      </c>
      <c r="D3" s="21" t="inlineStr">
        <is>
          <t>Queued</t>
        </is>
      </c>
      <c r="E3" s="21" t="inlineStr">
        <is>
          <t>Ivy Chen</t>
        </is>
      </c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  <c r="AD3" s="10" t="n"/>
    </row>
    <row r="4" ht="21" customHeight="1" s="9">
      <c r="A4" s="21" t="inlineStr">
        <is>
          <t>VX-101</t>
        </is>
      </c>
      <c r="B4" s="22" t="n">
        <v>46144</v>
      </c>
      <c r="C4" s="21" t="n">
        <v>5</v>
      </c>
      <c r="D4" s="21" t="inlineStr">
        <is>
          <t>Running</t>
        </is>
      </c>
      <c r="E4" s="21" t="inlineStr">
        <is>
          <t>Noah Reed</t>
        </is>
      </c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</row>
    <row r="5" ht="21" customHeight="1" s="9">
      <c r="A5" s="21" t="inlineStr">
        <is>
          <t>VX-102</t>
        </is>
      </c>
      <c r="B5" s="22" t="n">
        <v>46145</v>
      </c>
      <c r="C5" s="21" t="n">
        <v>10</v>
      </c>
      <c r="D5" s="21" t="inlineStr">
        <is>
          <t>Complete</t>
        </is>
      </c>
      <c r="E5" s="21" t="inlineStr">
        <is>
          <t>Priya Shah</t>
        </is>
      </c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</row>
    <row r="6" ht="21" customHeight="1" s="9">
      <c r="A6" s="21" t="inlineStr">
        <is>
          <t>VX-103</t>
        </is>
      </c>
      <c r="B6" s="22" t="n">
        <v>46146</v>
      </c>
      <c r="C6" s="21" t="n">
        <v>20</v>
      </c>
      <c r="D6" s="21" t="inlineStr">
        <is>
          <t>Hold</t>
        </is>
      </c>
      <c r="E6" s="21" t="inlineStr">
        <is>
          <t>Ivy Chen</t>
        </is>
      </c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</row>
    <row r="7" ht="21" customHeight="1" s="9">
      <c r="A7" s="21" t="inlineStr">
        <is>
          <t>VX-104</t>
        </is>
      </c>
      <c r="B7" s="22" t="n">
        <v>46147</v>
      </c>
      <c r="C7" s="21" t="n">
        <v>0</v>
      </c>
      <c r="D7" s="21" t="inlineStr">
        <is>
          <t>Queued</t>
        </is>
      </c>
      <c r="E7" s="21" t="inlineStr">
        <is>
          <t>Noah Reed</t>
        </is>
      </c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</row>
    <row r="8" ht="21" customHeight="1" s="9">
      <c r="A8" s="21" t="inlineStr">
        <is>
          <t>VX-105</t>
        </is>
      </c>
      <c r="B8" s="22" t="n">
        <v>46148</v>
      </c>
      <c r="C8" s="21" t="n">
        <v>5</v>
      </c>
      <c r="D8" s="21" t="inlineStr">
        <is>
          <t>Running</t>
        </is>
      </c>
      <c r="E8" s="21" t="inlineStr">
        <is>
          <t>Priya Shah</t>
        </is>
      </c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</row>
    <row r="9" ht="21" customHeight="1" s="9">
      <c r="A9" s="21" t="inlineStr">
        <is>
          <t>VX-106</t>
        </is>
      </c>
      <c r="B9" s="22" t="n">
        <v>46149</v>
      </c>
      <c r="C9" s="21" t="n">
        <v>10</v>
      </c>
      <c r="D9" s="21" t="inlineStr">
        <is>
          <t>Complete</t>
        </is>
      </c>
      <c r="E9" s="21" t="inlineStr">
        <is>
          <t>Ivy Chen</t>
        </is>
      </c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</row>
    <row r="10" ht="21" customHeight="1" s="9">
      <c r="A10" s="21" t="inlineStr">
        <is>
          <t>VX-107</t>
        </is>
      </c>
      <c r="B10" s="22" t="n">
        <v>46150</v>
      </c>
      <c r="C10" s="21" t="n">
        <v>20</v>
      </c>
      <c r="D10" s="21" t="inlineStr">
        <is>
          <t>Hold</t>
        </is>
      </c>
      <c r="E10" s="21" t="inlineStr">
        <is>
          <t>Noah Reed</t>
        </is>
      </c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</row>
    <row r="11" ht="21" customHeight="1" s="9">
      <c r="A11" s="21" t="inlineStr">
        <is>
          <t>VX-108</t>
        </is>
      </c>
      <c r="B11" s="22" t="n">
        <v>46151</v>
      </c>
      <c r="C11" s="21" t="n">
        <v>0</v>
      </c>
      <c r="D11" s="21" t="inlineStr">
        <is>
          <t>Queued</t>
        </is>
      </c>
      <c r="E11" s="21" t="inlineStr">
        <is>
          <t>Priya Shah</t>
        </is>
      </c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</row>
    <row r="12" ht="21" customHeight="1" s="9">
      <c r="A12" s="21" t="inlineStr">
        <is>
          <t>VX-109</t>
        </is>
      </c>
      <c r="B12" s="22" t="n">
        <v>46152</v>
      </c>
      <c r="C12" s="21" t="n">
        <v>5</v>
      </c>
      <c r="D12" s="21" t="inlineStr">
        <is>
          <t>Running</t>
        </is>
      </c>
      <c r="E12" s="21" t="inlineStr">
        <is>
          <t>Ivy Chen</t>
        </is>
      </c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</row>
    <row r="13" ht="21" customHeight="1" s="9">
      <c r="A13" s="21" t="inlineStr">
        <is>
          <t>VX-110</t>
        </is>
      </c>
      <c r="B13" s="22" t="n">
        <v>46153</v>
      </c>
      <c r="C13" s="21" t="n">
        <v>10</v>
      </c>
      <c r="D13" s="21" t="inlineStr">
        <is>
          <t>Complete</t>
        </is>
      </c>
      <c r="E13" s="21" t="inlineStr">
        <is>
          <t>Noah Reed</t>
        </is>
      </c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</row>
    <row r="14" ht="21" customHeight="1" s="9">
      <c r="A14" s="21" t="inlineStr">
        <is>
          <t>VX-111</t>
        </is>
      </c>
      <c r="B14" s="22" t="n">
        <v>46154</v>
      </c>
      <c r="C14" s="21" t="n">
        <v>20</v>
      </c>
      <c r="D14" s="21" t="inlineStr">
        <is>
          <t>Hold</t>
        </is>
      </c>
      <c r="E14" s="21" t="inlineStr">
        <is>
          <t>Priya Shah</t>
        </is>
      </c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</row>
    <row r="15" ht="21" customHeight="1" s="9">
      <c r="A15" s="21" t="inlineStr">
        <is>
          <t>VX-112</t>
        </is>
      </c>
      <c r="B15" s="22" t="n">
        <v>46155</v>
      </c>
      <c r="C15" s="21" t="n">
        <v>0</v>
      </c>
      <c r="D15" s="21" t="inlineStr">
        <is>
          <t>Queued</t>
        </is>
      </c>
      <c r="E15" s="21" t="inlineStr">
        <is>
          <t>Ivy Chen</t>
        </is>
      </c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</row>
    <row r="16" ht="21" customHeight="1" s="9">
      <c r="A16" s="21" t="inlineStr">
        <is>
          <t>VX-113</t>
        </is>
      </c>
      <c r="B16" s="22" t="n">
        <v>46156</v>
      </c>
      <c r="C16" s="21" t="n">
        <v>5</v>
      </c>
      <c r="D16" s="21" t="inlineStr">
        <is>
          <t>Running</t>
        </is>
      </c>
      <c r="E16" s="21" t="inlineStr">
        <is>
          <t>Noah Reed</t>
        </is>
      </c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</row>
    <row r="17" ht="21" customHeight="1" s="9">
      <c r="A17" s="21" t="inlineStr">
        <is>
          <t>VX-114</t>
        </is>
      </c>
      <c r="B17" s="22" t="n">
        <v>46157</v>
      </c>
      <c r="C17" s="21" t="n">
        <v>10</v>
      </c>
      <c r="D17" s="21" t="inlineStr">
        <is>
          <t>Complete</t>
        </is>
      </c>
      <c r="E17" s="21" t="inlineStr">
        <is>
          <t>Priya Shah</t>
        </is>
      </c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</row>
    <row r="18" ht="21" customHeight="1" s="9">
      <c r="A18" s="21" t="inlineStr">
        <is>
          <t>VX-115</t>
        </is>
      </c>
      <c r="B18" s="22" t="n">
        <v>46158</v>
      </c>
      <c r="C18" s="21" t="n">
        <v>20</v>
      </c>
      <c r="D18" s="21" t="inlineStr">
        <is>
          <t>Hold</t>
        </is>
      </c>
      <c r="E18" s="21" t="inlineStr">
        <is>
          <t>Ivy Chen</t>
        </is>
      </c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</row>
    <row r="19" ht="21" customHeight="1" s="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</row>
    <row r="20" ht="21" customHeight="1" s="9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</row>
    <row r="21" ht="21" customHeight="1" s="9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</row>
    <row r="22" ht="21" customHeight="1" s="9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</row>
    <row r="23" ht="21" customHeight="1" s="9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</row>
    <row r="24" ht="21" customHeight="1" s="9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</row>
    <row r="25" ht="21" customHeight="1" s="9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</row>
    <row r="26" ht="21" customHeight="1" s="9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</row>
    <row r="27" ht="21" customHeight="1" s="9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  <c r="AD27" s="10" t="n"/>
    </row>
    <row r="28" ht="21" customHeight="1" s="9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</row>
    <row r="29" ht="21" customHeight="1" s="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</row>
    <row r="30" ht="21" customHeight="1" s="9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</row>
    <row r="31" ht="21" customHeight="1" s="9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</row>
    <row r="32" ht="21" customHeight="1" s="9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</row>
    <row r="33" ht="21" customHeight="1" s="9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</row>
    <row r="34" ht="21" customHeight="1" s="9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</row>
    <row r="35" ht="21" customHeight="1" s="9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  <c r="AD35" s="10" t="n"/>
    </row>
    <row r="36" ht="21" customHeight="1" s="9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</row>
    <row r="37" ht="21" customHeight="1" s="9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  <c r="AD37" s="10" t="n"/>
    </row>
    <row r="38" ht="21" customHeight="1" s="9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</row>
    <row r="39" ht="21" customHeight="1" s="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</row>
    <row r="40" ht="21" customHeight="1" s="9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</row>
    <row r="41" ht="21" customHeight="1" s="9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  <c r="AD41" s="10" t="n"/>
    </row>
    <row r="42" ht="21" customHeight="1" s="9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n"/>
    </row>
    <row r="43" ht="21" customHeight="1" s="9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  <c r="AD43" s="10" t="n"/>
    </row>
    <row r="44" ht="21" customHeight="1" s="9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  <c r="AD44" s="10" t="n"/>
    </row>
    <row r="45" ht="21" customHeight="1" s="9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</row>
    <row r="46" ht="21" customHeight="1" s="9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</row>
    <row r="47" ht="21" customHeight="1" s="9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  <c r="AD47" s="10" t="n"/>
    </row>
    <row r="48" ht="21" customHeight="1" s="9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</row>
    <row r="49" ht="21" customHeight="1" s="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  <c r="AD49" s="10" t="n"/>
    </row>
    <row r="50" ht="21" customHeight="1" s="9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  <c r="AD50" s="10" t="n"/>
    </row>
    <row r="51" ht="21" customHeight="1" s="9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</row>
    <row r="52" ht="21" customHeight="1" s="9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  <c r="AD52" s="10" t="n"/>
    </row>
    <row r="53" ht="21" customHeight="1" s="9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  <c r="AD53" s="10" t="n"/>
    </row>
    <row r="54" ht="21" customHeight="1" s="9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</row>
    <row r="55" ht="21" customHeight="1" s="9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  <c r="AD55" s="10" t="n"/>
    </row>
    <row r="56" ht="21" customHeight="1" s="9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n"/>
    </row>
    <row r="57" ht="21" customHeight="1" s="9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</row>
    <row r="58" ht="21" customHeight="1" s="9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</row>
    <row r="59" ht="21" customHeight="1" s="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  <c r="AD59" s="10" t="n"/>
    </row>
    <row r="60" ht="21" customHeight="1" s="9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</row>
    <row r="61" ht="21" customHeight="1" s="9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  <c r="AD61" s="10" t="n"/>
    </row>
    <row r="62" ht="21" customHeight="1" s="9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  <c r="AD62" s="10" t="n"/>
    </row>
    <row r="63" ht="21" customHeight="1" s="9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  <c r="AD63" s="10" t="n"/>
    </row>
    <row r="64" ht="21" customHeight="1" s="9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  <c r="AD64" s="10" t="n"/>
    </row>
    <row r="65" ht="21" customHeight="1" s="9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  <c r="AD65" s="10" t="n"/>
    </row>
    <row r="66" ht="21" customHeight="1" s="9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  <c r="AD66" s="10" t="n"/>
    </row>
    <row r="67" ht="21" customHeight="1" s="9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</row>
    <row r="68" ht="21" customHeight="1" s="9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  <c r="AD68" s="10" t="n"/>
    </row>
    <row r="69" ht="21" customHeight="1" s="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  <c r="AD69" s="10" t="n"/>
    </row>
    <row r="70" ht="21" customHeight="1" s="9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  <c r="AD70" s="10" t="n"/>
    </row>
  </sheetData>
  <autoFilter ref="A2:E18"/>
  <dataValidations count="1">
    <dataValidation sqref="D3:D100" showDropDown="0" showInputMessage="0" showErrorMessage="0" allowBlank="0" type="list" errorStyle="stop" operator="between">
      <formula1>"Queued,Running,Complete,Hold,Rejected"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filterMode="0">
    <tabColor rgb="FF0E8F67"/>
    <outlinePr summaryBelow="1" summaryRight="1"/>
    <pageSetUpPr fitToPage="1"/>
  </sheetPr>
  <dimension ref="A1:AD7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21" customHeight="1" zeroHeight="0" outlineLevelRow="0"/>
  <cols>
    <col width="13" customWidth="1" style="8" min="1" max="31"/>
  </cols>
  <sheetData>
    <row r="1" ht="21" customHeight="1" s="9">
      <c r="A1" s="10" t="n"/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  <c r="AA1" s="10" t="n"/>
      <c r="AB1" s="10" t="n"/>
      <c r="AC1" s="10" t="n"/>
      <c r="AD1" s="10" t="n"/>
    </row>
    <row r="2" ht="21" customHeight="1" s="9">
      <c r="A2" s="10" t="inlineStr">
        <is>
          <t>Sample</t>
        </is>
      </c>
      <c r="B2" s="10" t="inlineStr">
        <is>
          <t>OD600</t>
        </is>
      </c>
      <c r="C2" s="10" t="inlineStr">
        <is>
          <t>Lower CL</t>
        </is>
      </c>
      <c r="D2" s="10" t="inlineStr">
        <is>
          <t>Target</t>
        </is>
      </c>
      <c r="E2" s="10" t="inlineStr">
        <is>
          <t>Upper CL</t>
        </is>
      </c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</row>
    <row r="3" ht="21" customHeight="1" s="9">
      <c r="A3" s="10" t="n">
        <v>1</v>
      </c>
      <c r="B3" s="10" t="n">
        <v>0.72</v>
      </c>
      <c r="C3" s="10" t="n">
        <v>0.62</v>
      </c>
      <c r="D3" s="10" t="n">
        <v>0.72</v>
      </c>
      <c r="E3" s="10" t="n">
        <v>0.82</v>
      </c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  <c r="AD3" s="10" t="n"/>
    </row>
    <row r="4" ht="21" customHeight="1" s="9">
      <c r="A4" s="10" t="n">
        <v>2</v>
      </c>
      <c r="B4" s="10" t="n">
        <v>0.758354043088336</v>
      </c>
      <c r="C4" s="10" t="n">
        <v>0.62</v>
      </c>
      <c r="D4" s="10" t="n">
        <v>0.72</v>
      </c>
      <c r="E4" s="10" t="n">
        <v>0.82</v>
      </c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</row>
    <row r="5" ht="21" customHeight="1" s="9">
      <c r="A5" s="10" t="n">
        <v>3</v>
      </c>
      <c r="B5" s="10" t="n">
        <v>0.787317678784632</v>
      </c>
      <c r="C5" s="10" t="n">
        <v>0.62</v>
      </c>
      <c r="D5" s="10" t="n">
        <v>0.72</v>
      </c>
      <c r="E5" s="10" t="n">
        <v>0.82</v>
      </c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</row>
    <row r="6" ht="21" customHeight="1" s="9">
      <c r="A6" s="10" t="n">
        <v>4</v>
      </c>
      <c r="B6" s="10" t="n">
        <v>0.799799598928324</v>
      </c>
      <c r="C6" s="10" t="n">
        <v>0.62</v>
      </c>
      <c r="D6" s="10" t="n">
        <v>0.72</v>
      </c>
      <c r="E6" s="10" t="n">
        <v>0.82</v>
      </c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</row>
    <row r="7" ht="21" customHeight="1" s="9">
      <c r="A7" s="10" t="n">
        <v>5</v>
      </c>
      <c r="B7" s="10" t="n">
        <v>0.792743794146055</v>
      </c>
      <c r="C7" s="10" t="n">
        <v>0.62</v>
      </c>
      <c r="D7" s="10" t="n">
        <v>0.72</v>
      </c>
      <c r="E7" s="10" t="n">
        <v>0.82</v>
      </c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</row>
    <row r="8" ht="21" customHeight="1" s="9">
      <c r="A8" s="10" t="n">
        <v>6</v>
      </c>
      <c r="B8" s="10" t="n">
        <v>0.767877771528317</v>
      </c>
      <c r="C8" s="10" t="n">
        <v>0.62</v>
      </c>
      <c r="D8" s="10" t="n">
        <v>0.72</v>
      </c>
      <c r="E8" s="10" t="n">
        <v>0.82</v>
      </c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</row>
    <row r="9" ht="21" customHeight="1" s="9">
      <c r="A9" s="10" t="n">
        <v>7</v>
      </c>
      <c r="B9" s="10" t="n">
        <v>0.731289600644789</v>
      </c>
      <c r="C9" s="10" t="n">
        <v>0.62</v>
      </c>
      <c r="D9" s="10" t="n">
        <v>0.72</v>
      </c>
      <c r="E9" s="10" t="n">
        <v>0.82</v>
      </c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</row>
    <row r="10" ht="21" customHeight="1" s="9">
      <c r="A10" s="10" t="n">
        <v>8</v>
      </c>
      <c r="B10" s="10" t="n">
        <v>0.69193734178483</v>
      </c>
      <c r="C10" s="10" t="n">
        <v>0.62</v>
      </c>
      <c r="D10" s="10" t="n">
        <v>0.72</v>
      </c>
      <c r="E10" s="10" t="n">
        <v>0.82</v>
      </c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</row>
    <row r="11" ht="21" customHeight="1" s="9">
      <c r="A11" s="10" t="n">
        <v>9</v>
      </c>
      <c r="B11" s="10" t="n">
        <v>0.659455800375366</v>
      </c>
      <c r="C11" s="10" t="n">
        <v>0.62</v>
      </c>
      <c r="D11" s="10" t="n">
        <v>0.72</v>
      </c>
      <c r="E11" s="10" t="n">
        <v>0.82</v>
      </c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</row>
    <row r="12" ht="21" customHeight="1" s="9">
      <c r="A12" s="10" t="n">
        <v>10</v>
      </c>
      <c r="B12" s="10" t="n">
        <v>0.641797590586792</v>
      </c>
      <c r="C12" s="10" t="n">
        <v>0.62</v>
      </c>
      <c r="D12" s="10" t="n">
        <v>0.72</v>
      </c>
      <c r="E12" s="10" t="n">
        <v>0.82</v>
      </c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</row>
    <row r="13" ht="21" customHeight="1" s="9">
      <c r="A13" s="10" t="n">
        <v>11</v>
      </c>
      <c r="B13" s="10" t="n">
        <v>0.643286058026949</v>
      </c>
      <c r="C13" s="10" t="n">
        <v>0.62</v>
      </c>
      <c r="D13" s="10" t="n">
        <v>0.72</v>
      </c>
      <c r="E13" s="10" t="n">
        <v>0.82</v>
      </c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</row>
    <row r="14" ht="21" customHeight="1" s="9">
      <c r="A14" s="10" t="n">
        <v>12</v>
      </c>
      <c r="B14" s="10" t="n">
        <v>0.663556773954369</v>
      </c>
      <c r="C14" s="10" t="n">
        <v>0.62</v>
      </c>
      <c r="D14" s="10" t="n">
        <v>0.72</v>
      </c>
      <c r="E14" s="10" t="n">
        <v>0.82</v>
      </c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</row>
    <row r="15" ht="21" customHeight="1" s="9">
      <c r="A15" s="10" t="n">
        <v>13</v>
      </c>
      <c r="B15" s="10" t="n">
        <v>0.697646760144086</v>
      </c>
      <c r="C15" s="10" t="n">
        <v>0.62</v>
      </c>
      <c r="D15" s="10" t="n">
        <v>0.72</v>
      </c>
      <c r="E15" s="10" t="n">
        <v>0.82</v>
      </c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</row>
    <row r="16" ht="21" customHeight="1" s="9">
      <c r="A16" s="10" t="n">
        <v>14</v>
      </c>
      <c r="B16" s="10" t="n">
        <v>0.737209599047025</v>
      </c>
      <c r="C16" s="10" t="n">
        <v>0.62</v>
      </c>
      <c r="D16" s="10" t="n">
        <v>0.72</v>
      </c>
      <c r="E16" s="10" t="n">
        <v>0.82</v>
      </c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</row>
    <row r="17" ht="21" customHeight="1" s="9">
      <c r="A17" s="10" t="n">
        <v>15</v>
      </c>
      <c r="B17" s="10" t="n">
        <v>0.772558927897503</v>
      </c>
      <c r="C17" s="10" t="n">
        <v>0.62</v>
      </c>
      <c r="D17" s="10" t="n">
        <v>0.72</v>
      </c>
      <c r="E17" s="10" t="n">
        <v>0.82</v>
      </c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</row>
    <row r="18" ht="21" customHeight="1" s="9">
      <c r="A18" s="10" t="n">
        <v>16</v>
      </c>
      <c r="B18" s="10" t="n">
        <v>0.795039998141979</v>
      </c>
      <c r="C18" s="10" t="n">
        <v>0.62</v>
      </c>
      <c r="D18" s="10" t="n">
        <v>0.72</v>
      </c>
      <c r="E18" s="10" t="n">
        <v>0.82</v>
      </c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</row>
    <row r="19" ht="21" customHeight="1" s="9">
      <c r="A19" s="10" t="n">
        <v>17</v>
      </c>
      <c r="B19" s="10" t="n">
        <v>0.799148659729871</v>
      </c>
      <c r="C19" s="10" t="n">
        <v>0.62</v>
      </c>
      <c r="D19" s="10" t="n">
        <v>0.72</v>
      </c>
      <c r="E19" s="10" t="n">
        <v>0.82</v>
      </c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</row>
    <row r="20" ht="21" customHeight="1" s="9">
      <c r="A20" s="10" t="n">
        <v>18</v>
      </c>
      <c r="B20" s="10" t="n">
        <v>0.783878969009879</v>
      </c>
      <c r="C20" s="10" t="n">
        <v>0.62</v>
      </c>
      <c r="D20" s="10" t="n">
        <v>0.72</v>
      </c>
      <c r="E20" s="10" t="n">
        <v>0.82</v>
      </c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</row>
    <row r="21" ht="21" customHeight="1" s="9">
      <c r="A21" s="10" t="n">
        <v>19</v>
      </c>
      <c r="B21" s="10" t="n">
        <v>0.752969478819341</v>
      </c>
      <c r="C21" s="10" t="n">
        <v>0.62</v>
      </c>
      <c r="D21" s="10" t="n">
        <v>0.72</v>
      </c>
      <c r="E21" s="10" t="n">
        <v>0.82</v>
      </c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</row>
    <row r="22" ht="21" customHeight="1" s="9">
      <c r="A22" s="10" t="n">
        <v>20</v>
      </c>
      <c r="B22" s="10" t="n">
        <v>0.713987910363055</v>
      </c>
      <c r="C22" s="10" t="n">
        <v>0.62</v>
      </c>
      <c r="D22" s="10" t="n">
        <v>0.72</v>
      </c>
      <c r="E22" s="10" t="n">
        <v>0.82</v>
      </c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</row>
    <row r="23" ht="21" customHeight="1" s="9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</row>
    <row r="24" ht="21" customHeight="1" s="9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</row>
    <row r="25" ht="21" customHeight="1" s="9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</row>
    <row r="26" ht="21" customHeight="1" s="9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</row>
    <row r="27" ht="21" customHeight="1" s="9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  <c r="AD27" s="10" t="n"/>
    </row>
    <row r="28" ht="21" customHeight="1" s="9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</row>
    <row r="29" ht="21" customHeight="1" s="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</row>
    <row r="30" ht="21" customHeight="1" s="9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</row>
    <row r="31" ht="21" customHeight="1" s="9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</row>
    <row r="32" ht="21" customHeight="1" s="9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</row>
    <row r="33" ht="21" customHeight="1" s="9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</row>
    <row r="34" ht="21" customHeight="1" s="9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</row>
    <row r="35" ht="21" customHeight="1" s="9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  <c r="AD35" s="10" t="n"/>
    </row>
    <row r="36" ht="21" customHeight="1" s="9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</row>
    <row r="37" ht="21" customHeight="1" s="9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  <c r="AD37" s="10" t="n"/>
    </row>
    <row r="38" ht="21" customHeight="1" s="9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</row>
    <row r="39" ht="21" customHeight="1" s="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</row>
    <row r="40" ht="21" customHeight="1" s="9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</row>
    <row r="41" ht="21" customHeight="1" s="9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  <c r="AD41" s="10" t="n"/>
    </row>
    <row r="42" ht="21" customHeight="1" s="9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n"/>
    </row>
    <row r="43" ht="21" customHeight="1" s="9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  <c r="AD43" s="10" t="n"/>
    </row>
    <row r="44" ht="21" customHeight="1" s="9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  <c r="AD44" s="10" t="n"/>
    </row>
    <row r="45" ht="21" customHeight="1" s="9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</row>
    <row r="46" ht="21" customHeight="1" s="9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</row>
    <row r="47" ht="21" customHeight="1" s="9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  <c r="AD47" s="10" t="n"/>
    </row>
    <row r="48" ht="21" customHeight="1" s="9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</row>
    <row r="49" ht="21" customHeight="1" s="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  <c r="AD49" s="10" t="n"/>
    </row>
    <row r="50" ht="21" customHeight="1" s="9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  <c r="AD50" s="10" t="n"/>
    </row>
    <row r="51" ht="21" customHeight="1" s="9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</row>
    <row r="52" ht="21" customHeight="1" s="9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  <c r="AD52" s="10" t="n"/>
    </row>
    <row r="53" ht="21" customHeight="1" s="9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  <c r="AD53" s="10" t="n"/>
    </row>
    <row r="54" ht="21" customHeight="1" s="9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</row>
    <row r="55" ht="21" customHeight="1" s="9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  <c r="AD55" s="10" t="n"/>
    </row>
    <row r="56" ht="21" customHeight="1" s="9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n"/>
    </row>
    <row r="57" ht="21" customHeight="1" s="9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</row>
    <row r="58" ht="21" customHeight="1" s="9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</row>
    <row r="59" ht="21" customHeight="1" s="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  <c r="AD59" s="10" t="n"/>
    </row>
    <row r="60" ht="21" customHeight="1" s="9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</row>
    <row r="61" ht="21" customHeight="1" s="9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  <c r="AD61" s="10" t="n"/>
    </row>
    <row r="62" ht="21" customHeight="1" s="9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  <c r="AD62" s="10" t="n"/>
    </row>
    <row r="63" ht="21" customHeight="1" s="9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  <c r="AD63" s="10" t="n"/>
    </row>
    <row r="64" ht="21" customHeight="1" s="9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  <c r="AD64" s="10" t="n"/>
    </row>
    <row r="65" ht="21" customHeight="1" s="9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  <c r="AD65" s="10" t="n"/>
    </row>
    <row r="66" ht="21" customHeight="1" s="9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  <c r="AD66" s="10" t="n"/>
    </row>
    <row r="67" ht="21" customHeight="1" s="9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</row>
    <row r="68" ht="21" customHeight="1" s="9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  <c r="AD68" s="10" t="n"/>
    </row>
    <row r="69" ht="21" customHeight="1" s="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  <c r="AD69" s="10" t="n"/>
    </row>
    <row r="70" ht="21" customHeight="1" s="9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  <c r="AD70" s="10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tabColor rgb="FFCDEDE1"/>
    <outlinePr summaryBelow="1" summaryRight="1"/>
    <pageSetUpPr fitToPage="1"/>
  </sheetPr>
  <dimension ref="A1:AD7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21" customHeight="1" zeroHeight="0" outlineLevelRow="0"/>
  <cols>
    <col width="13" customWidth="1" style="8" min="1" max="31"/>
  </cols>
  <sheetData>
    <row r="1" ht="21" customHeight="1" s="9">
      <c r="A1" s="10" t="n"/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  <c r="AA1" s="10" t="n"/>
      <c r="AB1" s="10" t="n"/>
      <c r="AC1" s="10" t="n"/>
      <c r="AD1" s="10" t="n"/>
    </row>
    <row r="2" ht="21" customHeight="1" s="9">
      <c r="A2" s="20" t="inlineStr">
        <is>
          <t>Dose µM</t>
        </is>
      </c>
      <c r="B2" s="20" t="inlineStr">
        <is>
          <t>Mean OD600</t>
        </is>
      </c>
      <c r="C2" s="20" t="inlineStr">
        <is>
          <t>Reduction</t>
        </is>
      </c>
      <c r="D2" s="20" t="inlineStr">
        <is>
          <t>Conclusion</t>
        </is>
      </c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</row>
    <row r="3" ht="21" customHeight="1" s="9">
      <c r="A3" s="21" t="n">
        <v>0</v>
      </c>
      <c r="B3" s="21" t="n">
        <v>0.86</v>
      </c>
      <c r="C3" s="21" t="n">
        <v>0</v>
      </c>
      <c r="D3" s="21" t="inlineStr">
        <is>
          <t>Control</t>
        </is>
      </c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  <c r="AD3" s="10" t="n"/>
    </row>
    <row r="4" ht="21" customHeight="1" s="9">
      <c r="A4" s="21" t="n">
        <v>5</v>
      </c>
      <c r="B4" s="21" t="n">
        <v>0.74</v>
      </c>
      <c r="C4" s="21">
        <f>1-B4/B3</f>
        <v/>
      </c>
      <c r="D4" s="21" t="inlineStr">
        <is>
          <t>Moderate</t>
        </is>
      </c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</row>
    <row r="5" ht="21" customHeight="1" s="9">
      <c r="A5" s="21" t="n">
        <v>10</v>
      </c>
      <c r="B5" s="21" t="n">
        <v>0.61</v>
      </c>
      <c r="C5" s="21">
        <f>1-B5/B3</f>
        <v/>
      </c>
      <c r="D5" s="21" t="inlineStr">
        <is>
          <t>Effective</t>
        </is>
      </c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</row>
    <row r="6" ht="21" customHeight="1" s="9">
      <c r="A6" s="21" t="n">
        <v>20</v>
      </c>
      <c r="B6" s="21" t="n">
        <v>0.52</v>
      </c>
      <c r="C6" s="21">
        <f>1-B6/B3</f>
        <v/>
      </c>
      <c r="D6" s="21" t="inlineStr">
        <is>
          <t>Strong</t>
        </is>
      </c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</row>
    <row r="7" ht="21" customHeight="1" s="9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</row>
    <row r="8" ht="21" customHeight="1" s="9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</row>
    <row r="9" ht="21" customHeight="1" s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</row>
    <row r="10" ht="21" customHeight="1" s="9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</row>
    <row r="11" ht="21" customHeight="1" s="9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</row>
    <row r="12" ht="21" customHeight="1" s="9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</row>
    <row r="13" ht="21" customHeight="1" s="9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</row>
    <row r="14" ht="21" customHeight="1" s="9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</row>
    <row r="15" ht="21" customHeight="1" s="9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</row>
    <row r="16" ht="21" customHeight="1" s="9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</row>
    <row r="17" ht="21" customHeight="1" s="9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</row>
    <row r="18" ht="21" customHeight="1" s="9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</row>
    <row r="19" ht="21" customHeight="1" s="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</row>
    <row r="20" ht="21" customHeight="1" s="9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</row>
    <row r="21" ht="21" customHeight="1" s="9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</row>
    <row r="22" ht="21" customHeight="1" s="9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</row>
    <row r="23" ht="21" customHeight="1" s="9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</row>
    <row r="24" ht="21" customHeight="1" s="9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</row>
    <row r="25" ht="21" customHeight="1" s="9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</row>
    <row r="26" ht="21" customHeight="1" s="9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</row>
    <row r="27" ht="21" customHeight="1" s="9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  <c r="AD27" s="10" t="n"/>
    </row>
    <row r="28" ht="21" customHeight="1" s="9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</row>
    <row r="29" ht="21" customHeight="1" s="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</row>
    <row r="30" ht="21" customHeight="1" s="9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</row>
    <row r="31" ht="21" customHeight="1" s="9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</row>
    <row r="32" ht="21" customHeight="1" s="9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</row>
    <row r="33" ht="21" customHeight="1" s="9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</row>
    <row r="34" ht="21" customHeight="1" s="9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</row>
    <row r="35" ht="21" customHeight="1" s="9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  <c r="AD35" s="10" t="n"/>
    </row>
    <row r="36" ht="21" customHeight="1" s="9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</row>
    <row r="37" ht="21" customHeight="1" s="9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  <c r="AD37" s="10" t="n"/>
    </row>
    <row r="38" ht="21" customHeight="1" s="9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</row>
    <row r="39" ht="21" customHeight="1" s="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</row>
    <row r="40" ht="21" customHeight="1" s="9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</row>
    <row r="41" ht="21" customHeight="1" s="9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  <c r="AD41" s="10" t="n"/>
    </row>
    <row r="42" ht="21" customHeight="1" s="9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n"/>
    </row>
    <row r="43" ht="21" customHeight="1" s="9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  <c r="AD43" s="10" t="n"/>
    </row>
    <row r="44" ht="21" customHeight="1" s="9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  <c r="AD44" s="10" t="n"/>
    </row>
    <row r="45" ht="21" customHeight="1" s="9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</row>
    <row r="46" ht="21" customHeight="1" s="9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</row>
    <row r="47" ht="21" customHeight="1" s="9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  <c r="AD47" s="10" t="n"/>
    </row>
    <row r="48" ht="21" customHeight="1" s="9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</row>
    <row r="49" ht="21" customHeight="1" s="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  <c r="AD49" s="10" t="n"/>
    </row>
    <row r="50" ht="21" customHeight="1" s="9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  <c r="AD50" s="10" t="n"/>
    </row>
    <row r="51" ht="21" customHeight="1" s="9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</row>
    <row r="52" ht="21" customHeight="1" s="9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  <c r="AD52" s="10" t="n"/>
    </row>
    <row r="53" ht="21" customHeight="1" s="9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  <c r="AD53" s="10" t="n"/>
    </row>
    <row r="54" ht="21" customHeight="1" s="9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</row>
    <row r="55" ht="21" customHeight="1" s="9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  <c r="AD55" s="10" t="n"/>
    </row>
    <row r="56" ht="21" customHeight="1" s="9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n"/>
    </row>
    <row r="57" ht="21" customHeight="1" s="9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</row>
    <row r="58" ht="21" customHeight="1" s="9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</row>
    <row r="59" ht="21" customHeight="1" s="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  <c r="AD59" s="10" t="n"/>
    </row>
    <row r="60" ht="21" customHeight="1" s="9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</row>
    <row r="61" ht="21" customHeight="1" s="9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  <c r="AD61" s="10" t="n"/>
    </row>
    <row r="62" ht="21" customHeight="1" s="9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  <c r="AD62" s="10" t="n"/>
    </row>
    <row r="63" ht="21" customHeight="1" s="9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  <c r="AD63" s="10" t="n"/>
    </row>
    <row r="64" ht="21" customHeight="1" s="9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  <c r="AD64" s="10" t="n"/>
    </row>
    <row r="65" ht="21" customHeight="1" s="9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  <c r="AD65" s="10" t="n"/>
    </row>
    <row r="66" ht="21" customHeight="1" s="9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  <c r="AD66" s="10" t="n"/>
    </row>
    <row r="67" ht="21" customHeight="1" s="9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</row>
    <row r="68" ht="21" customHeight="1" s="9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  <c r="AD68" s="10" t="n"/>
    </row>
    <row r="69" ht="21" customHeight="1" s="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  <c r="AD69" s="10" t="n"/>
    </row>
    <row r="70" ht="21" customHeight="1" s="9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  <c r="AD70" s="10" t="n"/>
    </row>
  </sheetData>
  <autoFilter ref="A2:D6"/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2026-08-10T09:58:14Z</dcterms:created>
  <dcterms:modified xsi:type="dcterms:W3CDTF">2026-08-10T10:29:24Z</dcterms:modified>
  <cp:revision>3</cp:revision>
</cp:coreProperties>
</file>