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34d603902e4f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cdc20bab3b44b93"/>
    <x:sheet xmlns:r="http://schemas.openxmlformats.org/officeDocument/2006/relationships" name="Revenue Model" sheetId="2" r:id="Re8b1494c78184480"/>
    <x:sheet xmlns:r="http://schemas.openxmlformats.org/officeDocument/2006/relationships" name="Content Pipeline" sheetId="3" r:id="Rdb1711b6fc7144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"/>
    <x:numFmt numFmtId="201" formatCode="0.0%"/>
  </x:numFmts>
  <x:fonts count="2">
    <x:font>
      <x:sz val="11"/>
      <x:name val="Carlito"/>
    </x:font>
    <x:font>
      <x:b/>
      <x:sz val="11"/>
      <x:color rgb="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064E3B"/>
      </x:patternFill>
    </x:fill>
    <x:fill>
      <x:patternFill patternType="solid">
        <x:fgColor rgb="0F766E"/>
      </x:patternFill>
    </x:fill>
    <x:fill>
      <x:patternFill patternType="solid">
        <x:fgColor rgb="047857"/>
      </x:patternFill>
    </x:fill>
    <x:fill>
      <x:patternFill patternType="solid">
        <x:fgColor rgb="0F172A"/>
      </x:patternFill>
    </x:fill>
    <x:fill>
      <x:patternFill patternType="solid">
        <x:fgColor rgb="2563EB"/>
      </x:patternFill>
    </x:fill>
    <x:fill>
      <x:patternFill patternType="solid">
        <x:fgColor rgb="1E3A8A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925fbcaf4245ae" /><Relationship Type="http://schemas.openxmlformats.org/officeDocument/2006/relationships/theme" Target="/xl/theme/theme1.xml" Id="R260d9038203c48d8" /><Relationship Type="http://schemas.openxmlformats.org/officeDocument/2006/relationships/sharedStrings" Target="/xl/sharedStrings.xml" Id="R400aa37e7e2f4cfa" /><Relationship Type="http://schemas.openxmlformats.org/officeDocument/2006/relationships/worksheet" Target="/xl/worksheets/sheet1.xml" Id="R1cdc20bab3b44b93" /><Relationship Type="http://schemas.openxmlformats.org/officeDocument/2006/relationships/worksheet" Target="/xl/worksheets/sheet2.xml" Id="Re8b1494c78184480" /><Relationship Type="http://schemas.openxmlformats.org/officeDocument/2006/relationships/worksheet" Target="/xl/worksheets/sheet3.xml" Id="Rdb1711b6fc71441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ef55a638bc24c6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Content Funnel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Posts</c:v>
          </c:tx>
          <c:cat>
            <c:strRef>
              <c:f>'Dashboard'!$D$4:$D$8</c:f>
              <c:strCache>
                <c:ptCount val="0"/>
              </c:strCache>
            </c:strRef>
          </c:cat>
          <c:val>
            <c:numRef>
              <c:f>'Dashboard'!$E$4:$E$8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Leads</c:v>
          </c:tx>
          <c:cat>
            <c:strRef>
              <c:f>'Dashboard'!$D$4:$D$8</c:f>
              <c:strCache>
                <c:ptCount val="0"/>
              </c:strCache>
            </c:strRef>
          </c:cat>
          <c:val>
            <c:numRef>
              <c:f>'Dashboard'!$F$4:$F$8</c:f>
              <c:numCache>
                <c:formatCode/>
                <c:ptCount val="0"/>
              </c:numCache>
            </c:numRef>
          </c:val>
        </c:ser>
        <c:ser>
          <c:idx val="2"/>
          <c:order val="2"/>
          <c:tx>
            <c:v>Calls</c:v>
          </c:tx>
          <c:cat>
            <c:strRef>
              <c:f>'Dashboard'!$D$4:$D$8</c:f>
              <c:strCache>
                <c:ptCount val="0"/>
              </c:strCache>
            </c:strRef>
          </c:cat>
          <c:val>
            <c:numRef>
              <c:f>'Dashboard'!$G$4:$G$8</c:f>
              <c:numCache>
                <c:formatCode/>
                <c:ptCount val="0"/>
              </c:numCache>
            </c:numRef>
          </c:val>
        </c:ser>
        <c:ser>
          <c:idx val="3"/>
          <c:order val="3"/>
          <c:tx>
            <c:v>Clients</c:v>
          </c:tx>
          <c:cat>
            <c:strRef>
              <c:f>'Dashboard'!$D$4:$D$8</c:f>
              <c:strCache>
                <c:ptCount val="0"/>
              </c:strCache>
            </c:strRef>
          </c:cat>
          <c:val>
            <c:numRef>
              <c:f>'Dashboard'!$H$4:$H$8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ef55a638bc24c6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5ccd44b12db46b3" /></Relationships>
</file>

<file path=xl/worksheets/sheet1.xml><?xml version="1.0" encoding="utf-8"?>
<x:worksheet xmlns:x="http://schemas.openxmlformats.org/spreadsheetml/2006/main">
  <x:sheetFormatPr defaultRowHeight="15"/>
  <x:cols>
    <x:col min="1" max="1" width="13.130000114440918" hidden="0" customWidth="1"/>
    <x:col min="2" max="2" width="13.130000114440918" hidden="0" customWidth="1"/>
    <x:col min="3" max="3" width="13.130000114440918" hidden="0" customWidth="1"/>
    <x:col min="4" max="4" width="13.130000114440918" hidden="0" customWidth="1"/>
    <x:col min="5" max="5" width="13.130000114440918" hidden="0" customWidth="1"/>
    <x:col min="6" max="6" width="13.130000114440918" hidden="0" customWidth="1"/>
    <x:col min="7" max="7" width="13.130000114440918" hidden="0" customWidth="1"/>
    <x:col min="8" max="8" width="13.130000114440918" hidden="0" customWidth="1"/>
  </x:cols>
  <x:sheetData>
    <x:row r="1">
      <x:c r="A1" s="2" t="str">
        <x:v>副业利润规划器</x:v>
      </x:c>
      <x:c r="B1" s="2" t="str"/>
      <x:c r="C1" s="2" t="str"/>
      <x:c r="D1" s="2" t="str"/>
      <x:c r="E1" s="2" t="str"/>
      <x:c r="F1" s="2" t="str"/>
      <x:c r="G1" s="2" t="str"/>
      <x:c r="H1" s="2" t="str"/>
    </x:row>
    <x:row r="3">
      <x:c r="A3" s="4" t="str">
        <x:v>Metric</x:v>
      </x:c>
      <x:c r="B3" s="4" t="str">
        <x:v>Value</x:v>
      </x:c>
      <x:c r="D3" s="8" t="str">
        <x:v>Channel</x:v>
      </x:c>
      <x:c r="E3" s="8" t="str">
        <x:v>Posts</x:v>
      </x:c>
      <x:c r="F3" s="8" t="str">
        <x:v>Leads</x:v>
      </x:c>
      <x:c r="G3" s="8" t="str">
        <x:v>Calls</x:v>
      </x:c>
      <x:c r="H3" s="8" t="str">
        <x:v>Clients</x:v>
      </x:c>
    </x:row>
    <x:row r="4">
      <x:c r="A4" t="str">
        <x:v>Monthly Revenue</x:v>
      </x:c>
      <x:c r="B4" s="5" t="n">
        <x:f>'Revenue Model'!H13</x:f>
        <x:v>11033</x:v>
      </x:c>
      <x:c r="D4" t="str">
        <x:f>'Content Pipeline'!A4</x:f>
        <x:v>XHS</x:v>
      </x:c>
      <x:c r="E4" t="n">
        <x:f>'Content Pipeline'!B4</x:f>
        <x:v>12</x:v>
      </x:c>
      <x:c r="F4" t="n">
        <x:f>'Content Pipeline'!C4</x:f>
        <x:v>46</x:v>
      </x:c>
      <x:c r="G4" t="n">
        <x:f>'Content Pipeline'!D4</x:f>
        <x:v>9</x:v>
      </x:c>
      <x:c r="H4" t="n">
        <x:f>'Content Pipeline'!E4</x:f>
        <x:v>2</x:v>
      </x:c>
    </x:row>
    <x:row r="5">
      <x:c r="A5" t="str">
        <x:v>Gross Margin</x:v>
      </x:c>
      <x:c r="B5" s="6" t="n">
        <x:f>'Revenue Model'!H14</x:f>
        <x:v>0.8877911719387293</x:v>
      </x:c>
      <x:c r="D5" t="str">
        <x:f>'Content Pipeline'!A5</x:f>
        <x:v>LinkedIn</x:v>
      </x:c>
      <x:c r="E5" t="n">
        <x:f>'Content Pipeline'!B5</x:f>
        <x:v>8</x:v>
      </x:c>
      <x:c r="F5" t="n">
        <x:f>'Content Pipeline'!C5</x:f>
        <x:v>38</x:v>
      </x:c>
      <x:c r="G5" t="n">
        <x:f>'Content Pipeline'!D5</x:f>
        <x:v>7</x:v>
      </x:c>
      <x:c r="H5" t="n">
        <x:f>'Content Pipeline'!E5</x:f>
        <x:v>2</x:v>
      </x:c>
    </x:row>
    <x:row r="6">
      <x:c r="A6" t="str">
        <x:v>Ad Spend</x:v>
      </x:c>
      <x:c r="B6" s="5" t="n">
        <x:f>'Revenue Model'!H15</x:f>
        <x:v>0</x:v>
      </x:c>
      <x:c r="D6" t="str">
        <x:f>'Content Pipeline'!A6</x:f>
        <x:v>Newsletter</x:v>
      </x:c>
      <x:c r="E6" t="n">
        <x:f>'Content Pipeline'!B6</x:f>
        <x:v>4</x:v>
      </x:c>
      <x:c r="F6" t="n">
        <x:f>'Content Pipeline'!C6</x:f>
        <x:v>24</x:v>
      </x:c>
      <x:c r="G6" t="n">
        <x:f>'Content Pipeline'!D6</x:f>
        <x:v>5</x:v>
      </x:c>
      <x:c r="H6" t="n">
        <x:f>'Content Pipeline'!E6</x:f>
        <x:v>1</x:v>
      </x:c>
    </x:row>
    <x:row r="7">
      <x:c r="A7" t="str">
        <x:v>Tool Cost</x:v>
      </x:c>
      <x:c r="B7" s="5" t="n">
        <x:f>'Revenue Model'!H16</x:f>
        <x:v>620</x:v>
      </x:c>
      <x:c r="D7" t="str">
        <x:f>'Content Pipeline'!A7</x:f>
        <x:v>Referral</x:v>
      </x:c>
      <x:c r="E7" t="n">
        <x:f>'Content Pipeline'!B7</x:f>
        <x:v>3</x:v>
      </x:c>
      <x:c r="F7" t="n">
        <x:f>'Content Pipeline'!C7</x:f>
        <x:v>18</x:v>
      </x:c>
      <x:c r="G7" t="n">
        <x:f>'Content Pipeline'!D7</x:f>
        <x:v>8</x:v>
      </x:c>
      <x:c r="H7" t="n">
        <x:f>'Content Pipeline'!E7</x:f>
        <x:v>3</x:v>
      </x:c>
    </x:row>
    <x:row r="8">
      <x:c r="A8" t="str">
        <x:v>Net Profit</x:v>
      </x:c>
      <x:c r="B8" s="5" t="n">
        <x:f>'Revenue Model'!H17</x:f>
        <x:v>9175</x:v>
      </x:c>
      <x:c r="D8" t="str">
        <x:f>'Content Pipeline'!A8</x:f>
        <x:v>Workshop</x:v>
      </x:c>
      <x:c r="E8" t="n">
        <x:f>'Content Pipeline'!B8</x:f>
        <x:v>2</x:v>
      </x:c>
      <x:c r="F8" t="n">
        <x:f>'Content Pipeline'!C8</x:f>
        <x:v>54</x:v>
      </x:c>
      <x:c r="G8" t="n">
        <x:f>'Content Pipeline'!D8</x:f>
        <x:v>16</x:v>
      </x:c>
      <x:c r="H8" t="n">
        <x:f>'Content Pipeline'!E8</x:f>
        <x:v>4</x:v>
      </x:c>
    </x:row>
  </x:sheetData>
  <x:pageMargins left="0.7" right="0.7" top="0.75" bottom="0.75" header="0.3" footer="0.3"/>
  <x:drawing xmlns:r="http://schemas.openxmlformats.org/officeDocument/2006/relationships" r:id="Rc5ccd44b12db46b3"/>
</x:worksheet>
</file>

<file path=xl/worksheets/sheet2.xml><?xml version="1.0" encoding="utf-8"?>
<x:worksheet xmlns:x="http://schemas.openxmlformats.org/spreadsheetml/2006/main">
  <x:sheetFormatPr defaultRowHeight="15"/>
  <x:cols>
    <x:col min="1" max="1" width="18.280000686645508" hidden="0" customWidth="1"/>
    <x:col min="2" max="2" width="13.130000114440918" hidden="0" customWidth="1"/>
    <x:col min="3" max="3" width="13.130000114440918" hidden="0" customWidth="1"/>
    <x:col min="4" max="4" width="13.130000114440918" hidden="0" customWidth="1"/>
    <x:col min="5" max="5" width="13.130000114440918" hidden="0" customWidth="1"/>
    <x:col min="6" max="6" width="13.130000114440918" hidden="0" customWidth="1"/>
    <x:col min="7" max="7" width="13.130000114440918" hidden="0" customWidth="1"/>
    <x:col min="8" max="8" width="19.020000457763672" hidden="0" customWidth="1"/>
  </x:cols>
  <x:sheetData>
    <x:row r="1">
      <x:c r="A1" s="10" t="str">
        <x:v>Revenue Model</x:v>
      </x:c>
      <x:c r="B1" s="10" t="str"/>
      <x:c r="C1" s="10" t="str"/>
      <x:c r="D1" s="10" t="str"/>
      <x:c r="E1" s="10" t="str"/>
      <x:c r="F1" s="10" t="str"/>
      <x:c r="G1" s="10" t="str"/>
      <x:c r="H1" s="10" t="str"/>
    </x:row>
    <x:row r="3">
      <x:c r="A3" s="12" t="str">
        <x:v>Offer</x:v>
      </x:c>
      <x:c r="B3" s="12" t="str">
        <x:v>Price</x:v>
      </x:c>
      <x:c r="C3" s="12" t="str">
        <x:v>Units</x:v>
      </x:c>
      <x:c r="D3" s="12" t="str">
        <x:v>Revenue</x:v>
      </x:c>
      <x:c r="E3" s="12" t="str">
        <x:v>COGS</x:v>
      </x:c>
      <x:c r="F3" s="12" t="str">
        <x:v>Gross Profit</x:v>
      </x:c>
      <x:c r="G3" s="12" t="str">
        <x:v>Margin</x:v>
      </x:c>
      <x:c r="H3" s="12" t="str">
        <x:v>Notes</x:v>
      </x:c>
    </x:row>
    <x:row r="4">
      <x:c r="A4" t="str">
        <x:v>Starter Audit</x:v>
      </x:c>
      <x:c r="B4" s="5" t="n">
        <x:v>199</x:v>
      </x:c>
      <x:c r="C4" s="5" t="n">
        <x:v>8</x:v>
      </x:c>
      <x:c r="D4" s="5" t="n">
        <x:f>B4*C4</x:f>
        <x:v>1592</x:v>
      </x:c>
      <x:c r="E4" s="5" t="n">
        <x:v>24</x:v>
      </x:c>
      <x:c r="F4" s="5" t="n">
        <x:f>D4-E4*C4</x:f>
        <x:v>1400</x:v>
      </x:c>
      <x:c r="G4" s="6" t="n">
        <x:f>IF(D4=0,0,F4/D4)</x:f>
        <x:v>0.8793969849246231</x:v>
      </x:c>
      <x:c r="H4" t="str">
        <x:v>90 min call</x:v>
      </x:c>
    </x:row>
    <x:row r="5">
      <x:c r="A5" t="str">
        <x:v>Build Sprint</x:v>
      </x:c>
      <x:c r="B5" s="5" t="n">
        <x:v>890</x:v>
      </x:c>
      <x:c r="C5" s="5" t="n">
        <x:v>3</x:v>
      </x:c>
      <x:c r="D5" s="5" t="n">
        <x:f>B5*C5</x:f>
        <x:v>2670</x:v>
      </x:c>
      <x:c r="E5" s="5" t="n">
        <x:v>80</x:v>
      </x:c>
      <x:c r="F5" s="5" t="n">
        <x:f>D5-E5*C5</x:f>
        <x:v>2430</x:v>
      </x:c>
      <x:c r="G5" s="6" t="n">
        <x:f>IF(D5=0,0,F5/D5)</x:f>
        <x:v>0.9101123595505618</x:v>
      </x:c>
      <x:c r="H5" t="str">
        <x:v>7-day build</x:v>
      </x:c>
    </x:row>
    <x:row r="6">
      <x:c r="A6" t="str">
        <x:v>Retainer</x:v>
      </x:c>
      <x:c r="B6" s="5" t="n">
        <x:v>490</x:v>
      </x:c>
      <x:c r="C6" s="5" t="n">
        <x:v>4</x:v>
      </x:c>
      <x:c r="D6" s="5" t="n">
        <x:f>B6*C6</x:f>
        <x:v>1960</x:v>
      </x:c>
      <x:c r="E6" s="5" t="n">
        <x:v>38</x:v>
      </x:c>
      <x:c r="F6" s="5" t="n">
        <x:f>D6-E6*C6</x:f>
        <x:v>1808</x:v>
      </x:c>
      <x:c r="G6" s="6" t="n">
        <x:f>IF(D6=0,0,F6/D6)</x:f>
        <x:v>0.9224489795918367</x:v>
      </x:c>
      <x:c r="H6" t="str">
        <x:v>monthly</x:v>
      </x:c>
    </x:row>
    <x:row r="7">
      <x:c r="A7" t="str">
        <x:v>Template Pack</x:v>
      </x:c>
      <x:c r="B7" s="5" t="n">
        <x:v>29</x:v>
      </x:c>
      <x:c r="C7" s="5" t="n">
        <x:v>80</x:v>
      </x:c>
      <x:c r="D7" s="5" t="n">
        <x:f>B7*C7</x:f>
        <x:v>2320</x:v>
      </x:c>
      <x:c r="E7" s="5" t="n">
        <x:v>4</x:v>
      </x:c>
      <x:c r="F7" s="5" t="n">
        <x:f>D7-E7*C7</x:f>
        <x:v>2000</x:v>
      </x:c>
      <x:c r="G7" s="6" t="n">
        <x:f>IF(D7=0,0,F7/D7)</x:f>
        <x:v>0.8620689655172413</x:v>
      </x:c>
      <x:c r="H7" t="str">
        <x:v>digital</x:v>
      </x:c>
    </x:row>
    <x:row r="8">
      <x:c r="A8" t="str">
        <x:v>Workshop</x:v>
      </x:c>
      <x:c r="B8" s="5" t="n">
        <x:v>129</x:v>
      </x:c>
      <x:c r="C8" s="5" t="n">
        <x:v>14</x:v>
      </x:c>
      <x:c r="D8" s="5" t="n">
        <x:f>B8*C8</x:f>
        <x:v>1806</x:v>
      </x:c>
      <x:c r="E8" s="5" t="n">
        <x:v>16</x:v>
      </x:c>
      <x:c r="F8" s="5" t="n">
        <x:f>D8-E8*C8</x:f>
        <x:v>1582</x:v>
      </x:c>
      <x:c r="G8" s="6" t="n">
        <x:f>IF(D8=0,0,F8/D8)</x:f>
        <x:v>0.875968992248062</x:v>
      </x:c>
      <x:c r="H8" t="str">
        <x:v>live cohort</x:v>
      </x:c>
    </x:row>
    <x:row r="9">
      <x:c r="A9" t="str">
        <x:v>Upsell Recording</x:v>
      </x:c>
      <x:c r="B9" s="5" t="n">
        <x:v>19</x:v>
      </x:c>
      <x:c r="C9" s="5" t="n">
        <x:v>55</x:v>
      </x:c>
      <x:c r="D9" s="5" t="n">
        <x:f>B9*C9</x:f>
        <x:v>1045</x:v>
      </x:c>
      <x:c r="E9" s="5" t="n">
        <x:v>2</x:v>
      </x:c>
      <x:c r="F9" s="5" t="n">
        <x:f>D9-E9*C9</x:f>
        <x:v>935</x:v>
      </x:c>
      <x:c r="G9" s="6" t="n">
        <x:f>IF(D9=0,0,F9/D9)</x:f>
        <x:v>0.8947368421052632</x:v>
      </x:c>
      <x:c r="H9" t="str">
        <x:v>after workshop</x:v>
      </x:c>
    </x:row>
    <x:row r="10">
      <x:c r="A10" t="str">
        <x:v>Referral Bonus</x:v>
      </x:c>
      <x:c r="B10" s="5" t="n">
        <x:v>-80</x:v>
      </x:c>
      <x:c r="C10" s="5" t="n">
        <x:v>3</x:v>
      </x:c>
      <x:c r="D10" s="5" t="n">
        <x:f>B10*C10</x:f>
        <x:v>-240</x:v>
      </x:c>
      <x:c r="E10" s="5" t="n">
        <x:v>0</x:v>
      </x:c>
      <x:c r="F10" s="5" t="n">
        <x:f>D10-E10*C10</x:f>
        <x:v>-240</x:v>
      </x:c>
      <x:c r="G10" s="6" t="n">
        <x:f>IF(D10=0,0,F10/D10)</x:f>
        <x:v>1</x:v>
      </x:c>
      <x:c r="H10" t="str">
        <x:v>discount</x:v>
      </x:c>
    </x:row>
    <x:row r="11">
      <x:c r="A11" t="str">
        <x:v>Refund Reserve</x:v>
      </x:c>
      <x:c r="B11" s="5" t="n">
        <x:v>-120</x:v>
      </x:c>
      <x:c r="C11" s="5" t="n">
        <x:v>1</x:v>
      </x:c>
      <x:c r="D11" s="5" t="n">
        <x:f>B11*C11</x:f>
        <x:v>-120</x:v>
      </x:c>
      <x:c r="E11" s="5" t="n">
        <x:v>0</x:v>
      </x:c>
      <x:c r="F11" s="5" t="n">
        <x:f>D11-E11*C11</x:f>
        <x:v>-120</x:v>
      </x:c>
      <x:c r="G11" s="6" t="n">
        <x:f>IF(D11=0,0,F11/D11)</x:f>
        <x:v>1</x:v>
      </x:c>
      <x:c r="H11" t="str">
        <x:v>risk</x:v>
      </x:c>
    </x:row>
    <x:row r="12">
      <x:c r="B12" s="5"/>
      <x:c r="C12" s="5"/>
      <x:c r="D12" s="5"/>
      <x:c r="E12" s="5"/>
      <x:c r="F12" s="5"/>
    </x:row>
    <x:row r="13">
      <x:c r="A13" t="str">
        <x:v>Summary</x:v>
      </x:c>
      <x:c r="B13" s="5" t="str"/>
      <x:c r="C13" s="5" t="str"/>
      <x:c r="D13" s="5" t="str"/>
      <x:c r="E13" s="5" t="str"/>
      <x:c r="F13" s="5" t="str"/>
      <x:c r="G13" t="str">
        <x:v>Value</x:v>
      </x:c>
      <x:c r="H13" s="5" t="n">
        <x:f>SUM(D4:D11)</x:f>
        <x:v>11033</x:v>
      </x:c>
    </x:row>
    <x:row r="14">
      <x:c r="A14" t="str">
        <x:v>Monthly Revenue</x:v>
      </x:c>
      <x:c r="B14" s="5" t="str"/>
      <x:c r="C14" s="5" t="str"/>
      <x:c r="D14" s="5" t="str"/>
      <x:c r="E14" s="5" t="str"/>
      <x:c r="F14" s="5" t="str"/>
      <x:c r="G14"/>
      <x:c r="H14" s="6" t="n">
        <x:f>SUM(F4:F11)/SUM(D4:D11)</x:f>
        <x:v>0.8877911719387293</x:v>
      </x:c>
    </x:row>
    <x:row r="15">
      <x:c r="A15" t="str">
        <x:v>Gross Margin</x:v>
      </x:c>
      <x:c r="B15" s="5" t="str"/>
      <x:c r="C15" s="5" t="str"/>
      <x:c r="D15" s="5" t="str"/>
      <x:c r="E15" s="5" t="str"/>
      <x:c r="F15" s="5" t="str"/>
      <x:c r="G15"/>
      <x:c r="H15" s="5" t="n">
        <x:f>G15</x:f>
        <x:v>0</x:v>
      </x:c>
    </x:row>
    <x:row r="16">
      <x:c r="A16" t="str">
        <x:v>Ad Spend</x:v>
      </x:c>
      <x:c r="B16" s="5" t="str"/>
      <x:c r="C16" s="5" t="str"/>
      <x:c r="D16" s="5" t="str"/>
      <x:c r="E16" s="5" t="str"/>
      <x:c r="F16" s="5" t="str"/>
      <x:c r="G16" t="n">
        <x:v>620</x:v>
      </x:c>
      <x:c r="H16" s="5" t="n">
        <x:f>G16</x:f>
        <x:v>620</x:v>
      </x:c>
    </x:row>
    <x:row r="17">
      <x:c r="A17" t="str">
        <x:v>Tool Cost</x:v>
      </x:c>
      <x:c r="B17" s="5" t="str"/>
      <x:c r="C17" s="5" t="str"/>
      <x:c r="D17" s="5" t="str"/>
      <x:c r="E17" s="5" t="str"/>
      <x:c r="F17" s="5" t="str"/>
      <x:c r="G17" t="n">
        <x:v>180</x:v>
      </x:c>
      <x:c r="H17" s="5" t="n">
        <x:f>H13*H14-H15-H16</x:f>
        <x:v>9175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.579999923706055" hidden="0" customWidth="1"/>
    <x:col min="2" max="2" width="13.130000114440918" hidden="0" customWidth="1"/>
    <x:col min="3" max="3" width="13.130000114440918" hidden="0" customWidth="1"/>
    <x:col min="4" max="4" width="13.130000114440918" hidden="0" customWidth="1"/>
    <x:col min="5" max="5" width="13.130000114440918" hidden="0" customWidth="1"/>
    <x:col min="6" max="6" width="13.130000114440918" hidden="0" customWidth="1"/>
    <x:col min="7" max="7" width="13.130000114440918" hidden="0" customWidth="1"/>
    <x:col min="8" max="8" width="13.130000114440918" hidden="0" customWidth="1"/>
  </x:cols>
  <x:sheetData>
    <x:row r="1">
      <x:c r="A1" s="14" t="str">
        <x:v>Content Pipeline</x:v>
      </x:c>
      <x:c r="B1" s="14" t="str"/>
      <x:c r="C1" s="14" t="str"/>
      <x:c r="D1" s="14" t="str"/>
      <x:c r="E1" s="14" t="str"/>
    </x:row>
    <x:row r="3">
      <x:c r="A3" s="12" t="str">
        <x:v>Channel</x:v>
      </x:c>
      <x:c r="B3" s="12" t="str">
        <x:v>Posts</x:v>
      </x:c>
      <x:c r="C3" s="12" t="str">
        <x:v>Leads</x:v>
      </x:c>
      <x:c r="D3" s="12" t="str">
        <x:v>Calls</x:v>
      </x:c>
      <x:c r="E3" s="12" t="str">
        <x:v>Clients</x:v>
      </x:c>
    </x:row>
    <x:row r="4">
      <x:c r="A4" t="str">
        <x:v>XHS</x:v>
      </x:c>
      <x:c r="B4" t="n">
        <x:v>12</x:v>
      </x:c>
      <x:c r="C4" t="n">
        <x:v>46</x:v>
      </x:c>
      <x:c r="D4" t="n">
        <x:v>9</x:v>
      </x:c>
      <x:c r="E4" t="n">
        <x:v>2</x:v>
      </x:c>
    </x:row>
    <x:row r="5">
      <x:c r="A5" t="str">
        <x:v>LinkedIn</x:v>
      </x:c>
      <x:c r="B5" t="n">
        <x:v>8</x:v>
      </x:c>
      <x:c r="C5" t="n">
        <x:v>38</x:v>
      </x:c>
      <x:c r="D5" t="n">
        <x:v>7</x:v>
      </x:c>
      <x:c r="E5" t="n">
        <x:v>2</x:v>
      </x:c>
    </x:row>
    <x:row r="6">
      <x:c r="A6" t="str">
        <x:v>Newsletter</x:v>
      </x:c>
      <x:c r="B6" t="n">
        <x:v>4</x:v>
      </x:c>
      <x:c r="C6" t="n">
        <x:v>24</x:v>
      </x:c>
      <x:c r="D6" t="n">
        <x:v>5</x:v>
      </x:c>
      <x:c r="E6" t="n">
        <x:v>1</x:v>
      </x:c>
    </x:row>
    <x:row r="7">
      <x:c r="A7" t="str">
        <x:v>Referral</x:v>
      </x:c>
      <x:c r="B7" t="n">
        <x:v>3</x:v>
      </x:c>
      <x:c r="C7" t="n">
        <x:v>18</x:v>
      </x:c>
      <x:c r="D7" t="n">
        <x:v>8</x:v>
      </x:c>
      <x:c r="E7" t="n">
        <x:v>3</x:v>
      </x:c>
    </x:row>
    <x:row r="8">
      <x:c r="A8" t="str">
        <x:v>Workshop</x:v>
      </x:c>
      <x:c r="B8" t="n">
        <x:v>2</x:v>
      </x:c>
      <x:c r="C8" t="n">
        <x:v>54</x:v>
      </x:c>
      <x:c r="D8" t="n">
        <x:v>16</x:v>
      </x:c>
      <x:c r="E8" t="n">
        <x:v>4</x:v>
      </x:c>
    </x:row>
  </x:sheetData>
  <x:pageMargins left="0.7" right="0.7" top="0.75" bottom="0.75" header="0.3" footer="0.3"/>
</x:worksheet>
</file>