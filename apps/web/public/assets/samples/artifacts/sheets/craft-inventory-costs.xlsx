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5510e12f8c4e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ventory" sheetId="1" r:id="Re9f3eacc199940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$0.00"/>
    <x:numFmt numFmtId="201" formatCode="0.0%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1"/>
      <x:color rgb="92400E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431407"/>
      </x:patternFill>
    </x:fill>
    <x:fill>
      <x:patternFill patternType="solid">
        <x:fgColor rgb="F59E0B"/>
      </x:patternFill>
    </x:fill>
    <x:fill>
      <x:patternFill patternType="solid">
        <x:fgColor rgb="FEF3C7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17547d32c04044" /><Relationship Type="http://schemas.openxmlformats.org/officeDocument/2006/relationships/theme" Target="/xl/theme/theme1.xml" Id="R21ad0ecaefc3493f" /><Relationship Type="http://schemas.openxmlformats.org/officeDocument/2006/relationships/sharedStrings" Target="/xl/sharedStrings.xml" Id="R2b294bc818af4e66" /><Relationship Type="http://schemas.openxmlformats.org/officeDocument/2006/relationships/worksheet" Target="/xl/worksheets/sheet1.xml" Id="Re9f3eacc1999407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7156e6f8af04de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Product margin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Material</c:v>
          </c:tx>
          <c:cat>
            <c:strRef>
              <c:f>'Inventory'!$B$4:$B$11</c:f>
              <c:strCache>
                <c:ptCount val="0"/>
              </c:strCache>
            </c:strRef>
          </c:cat>
          <c:val>
            <c:numRef>
              <c:f>'Inventory'!$C$4:$C$11</c:f>
              <c:numCache>
                <c:formatCode>$0.00</c:formatCode>
                <c:ptCount val="0"/>
              </c:numCache>
            </c:numRef>
          </c:val>
        </c:ser>
        <c:ser>
          <c:idx val="1"/>
          <c:order val="1"/>
          <c:tx>
            <c:v>Labor Min</c:v>
          </c:tx>
          <c:cat>
            <c:strRef>
              <c:f>'Inventory'!$B$4:$B$11</c:f>
              <c:strCache>
                <c:ptCount val="0"/>
              </c:strCache>
            </c:strRef>
          </c:cat>
          <c:val>
            <c:numRef>
              <c:f>'Inventory'!$D$4:$D$11</c:f>
              <c:numCache>
                <c:formatCode/>
                <c:ptCount val="0"/>
              </c:numCache>
            </c:numRef>
          </c:val>
        </c:ser>
        <c:ser>
          <c:idx val="2"/>
          <c:order val="2"/>
          <c:tx>
            <c:v>Packaging</c:v>
          </c:tx>
          <c:cat>
            <c:strRef>
              <c:f>'Inventory'!$B$4:$B$11</c:f>
              <c:strCache>
                <c:ptCount val="0"/>
              </c:strCache>
            </c:strRef>
          </c:cat>
          <c:val>
            <c:numRef>
              <c:f>'Inventory'!$E$4:$E$11</c:f>
              <c:numCache>
                <c:formatCode>$0.00</c:formatCode>
                <c:ptCount val="0"/>
              </c:numCache>
            </c:numRef>
          </c:val>
        </c:ser>
        <c:ser>
          <c:idx val="3"/>
          <c:order val="3"/>
          <c:tx>
            <c:v>Price</c:v>
          </c:tx>
          <c:cat>
            <c:strRef>
              <c:f>'Inventory'!$B$4:$B$11</c:f>
              <c:strCache>
                <c:ptCount val="0"/>
              </c:strCache>
            </c:strRef>
          </c:cat>
          <c:val>
            <c:numRef>
              <c:f>'Inventory'!$F$4:$F$11</c:f>
              <c:numCache>
                <c:formatCode>$0.00</c:formatCode>
                <c:ptCount val="0"/>
              </c:numCache>
            </c:numRef>
          </c:val>
        </c:ser>
        <c:ser>
          <c:idx val="4"/>
          <c:order val="4"/>
          <c:tx>
            <c:v>Margin</c:v>
          </c:tx>
          <c:cat>
            <c:strRef>
              <c:f>'Inventory'!$B$4:$B$11</c:f>
              <c:strCache>
                <c:ptCount val="0"/>
              </c:strCache>
            </c:strRef>
          </c:cat>
          <c:val>
            <c:numRef>
              <c:f>'Inventory'!$G$4:$G$11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7156e6f8af04de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2edd0ab97194792" /></Relationships>
</file>

<file path=xl/worksheets/sheet1.xml><?xml version="1.0" encoding="utf-8"?>
<x:worksheet xmlns:x="http://schemas.openxmlformats.org/spreadsheetml/2006/main">
  <x:sheetFormatPr defaultRowHeight="15"/>
  <x:cols>
    <x:col min="1" max="1" width="9.449999809265137" hidden="0" customWidth="1"/>
    <x:col min="2" max="2" width="18.040000915527344" hidden="0" customWidth="1"/>
    <x:col min="3" max="3" width="10.670000076293945" hidden="0" customWidth="1"/>
    <x:col min="4" max="4" width="10.670000076293945" hidden="0" customWidth="1"/>
    <x:col min="5" max="5" width="11.65999984741211" hidden="0" customWidth="1"/>
    <x:col min="6" max="6" width="9.449999809265137" hidden="0" customWidth="1"/>
    <x:col min="7" max="7" width="9.449999809265137" hidden="0" customWidth="1"/>
    <x:col min="8" max="8" width="10.180000305175781" hidden="0" customWidth="1"/>
  </x:cols>
  <x:sheetData>
    <x:row r="1">
      <x:c r="A1" s="2" t="str">
        <x:v>手作库存成本表</x:v>
      </x:c>
      <x:c r="B1" s="2" t="str"/>
      <x:c r="C1" s="2" t="str"/>
      <x:c r="D1" s="2" t="str"/>
      <x:c r="E1" s="2" t="str"/>
      <x:c r="F1" s="2" t="str"/>
      <x:c r="G1" s="2" t="str"/>
      <x:c r="H1" s="2" t="str"/>
    </x:row>
    <x:row r="3">
      <x:c r="A3" s="4" t="str">
        <x:v>SKU</x:v>
      </x:c>
      <x:c r="B3" s="4" t="str">
        <x:v>Product</x:v>
      </x:c>
      <x:c r="C3" s="4" t="str">
        <x:v>Material</x:v>
      </x:c>
      <x:c r="D3" s="4" t="str">
        <x:v>Labor Min</x:v>
      </x:c>
      <x:c r="E3" s="4" t="str">
        <x:v>Packaging</x:v>
      </x:c>
      <x:c r="F3" s="4" t="str">
        <x:v>Price</x:v>
      </x:c>
      <x:c r="G3" s="4" t="str">
        <x:v>Margin</x:v>
      </x:c>
      <x:c r="H3" s="4" t="str">
        <x:v>Restock</x:v>
      </x:c>
    </x:row>
    <x:row r="4">
      <x:c r="A4" t="str">
        <x:v>C-101</x:v>
      </x:c>
      <x:c r="B4" t="str">
        <x:v>White tea candle</x:v>
      </x:c>
      <x:c r="C4" s="5" t="n">
        <x:v>5.2</x:v>
      </x:c>
      <x:c r="D4" t="n">
        <x:v>18</x:v>
      </x:c>
      <x:c r="E4" s="5" t="n">
        <x:v>1.1</x:v>
      </x:c>
      <x:c r="F4" s="5" t="n">
        <x:v>26</x:v>
      </x:c>
      <x:c r="G4" s="6" t="n">
        <x:f>(F4-C4-E4-(D4/60*12))/F4</x:f>
        <x:v>0.6192307692307693</x:v>
      </x:c>
      <x:c r="H4" s="8" t="str">
        <x:v>Soon</x:v>
      </x:c>
    </x:row>
    <x:row r="5">
      <x:c r="A5" t="str">
        <x:v>C-102</x:v>
      </x:c>
      <x:c r="B5" t="str">
        <x:v>Rainy bookstore</x:v>
      </x:c>
      <x:c r="C5" s="5" t="n">
        <x:v>6.1</x:v>
      </x:c>
      <x:c r="D5" t="n">
        <x:v>20</x:v>
      </x:c>
      <x:c r="E5" s="5" t="n">
        <x:v>1.2</x:v>
      </x:c>
      <x:c r="F5" s="5" t="n">
        <x:v>30</x:v>
      </x:c>
      <x:c r="G5" s="6" t="n">
        <x:f>(F5-C5-E5-(D5/60*12))/F5</x:f>
        <x:v>0.6233333333333333</x:v>
      </x:c>
      <x:c r="H5" s="8" t="str">
        <x:v>OK</x:v>
      </x:c>
    </x:row>
    <x:row r="6">
      <x:c r="A6" t="str">
        <x:v>C-103</x:v>
      </x:c>
      <x:c r="B6" t="str">
        <x:v>Peach oolong</x:v>
      </x:c>
      <x:c r="C6" s="5" t="n">
        <x:v>5.8</x:v>
      </x:c>
      <x:c r="D6" t="n">
        <x:v>16</x:v>
      </x:c>
      <x:c r="E6" s="5" t="n">
        <x:v>1</x:v>
      </x:c>
      <x:c r="F6" s="5" t="n">
        <x:v>28</x:v>
      </x:c>
      <x:c r="G6" s="6" t="n">
        <x:f>(F6-C6-E6-(D6/60*12))/F6</x:f>
        <x:v>0.6428571428571429</x:v>
      </x:c>
      <x:c r="H6" s="8" t="str">
        <x:v>Soon</x:v>
      </x:c>
    </x:row>
    <x:row r="7">
      <x:c r="A7" t="str">
        <x:v>C-104</x:v>
      </x:c>
      <x:c r="B7" t="str">
        <x:v>Cedar afternoon</x:v>
      </x:c>
      <x:c r="C7" s="5" t="n">
        <x:v>7.4</x:v>
      </x:c>
      <x:c r="D7" t="n">
        <x:v>22</x:v>
      </x:c>
      <x:c r="E7" s="5" t="n">
        <x:v>1.4</x:v>
      </x:c>
      <x:c r="F7" s="5" t="n">
        <x:v>34</x:v>
      </x:c>
      <x:c r="G7" s="6" t="n">
        <x:f>(F7-C7-E7-(D7/60*12))/F7</x:f>
        <x:v>0.6117647058823531</x:v>
      </x:c>
      <x:c r="H7" s="8" t="str">
        <x:v>OK</x:v>
      </x:c>
    </x:row>
    <x:row r="8">
      <x:c r="A8" t="str">
        <x:v>K-201</x:v>
      </x:c>
      <x:c r="B8" t="str">
        <x:v>Trial kit</x:v>
      </x:c>
      <x:c r="C8" s="5" t="n">
        <x:v>10.8</x:v>
      </x:c>
      <x:c r="D8" t="n">
        <x:v>30</x:v>
      </x:c>
      <x:c r="E8" s="5" t="n">
        <x:v>2.6</x:v>
      </x:c>
      <x:c r="F8" s="5" t="n">
        <x:v>58</x:v>
      </x:c>
      <x:c r="G8" s="6" t="n">
        <x:f>(F8-C8-E8-(D8/60*12))/F8</x:f>
        <x:v>0.6655172413793103</x:v>
      </x:c>
      <x:c r="H8" s="8" t="str">
        <x:v>OK</x:v>
      </x:c>
    </x:row>
    <x:row r="9">
      <x:c r="A9" t="str">
        <x:v>K-202</x:v>
      </x:c>
      <x:c r="B9" t="str">
        <x:v>Gift set</x:v>
      </x:c>
      <x:c r="C9" s="5" t="n">
        <x:v>16.2</x:v>
      </x:c>
      <x:c r="D9" t="n">
        <x:v>42</x:v>
      </x:c>
      <x:c r="E9" s="5" t="n">
        <x:v>4.8</x:v>
      </x:c>
      <x:c r="F9" s="5" t="n">
        <x:v>88</x:v>
      </x:c>
      <x:c r="G9" s="6" t="n">
        <x:f>(F9-C9-E9-(D9/60*12))/F9</x:f>
        <x:v>0.6659090909090909</x:v>
      </x:c>
      <x:c r="H9" s="8" t="str">
        <x:v>Plan</x:v>
      </x:c>
    </x:row>
    <x:row r="10">
      <x:c r="A10" t="str">
        <x:v>S-301</x:v>
      </x:c>
      <x:c r="B10" t="str">
        <x:v>Scent card</x:v>
      </x:c>
      <x:c r="C10" s="5" t="n">
        <x:v>0.6</x:v>
      </x:c>
      <x:c r="D10" t="n">
        <x:v>2</x:v>
      </x:c>
      <x:c r="E10" s="5" t="n">
        <x:v>0.2</x:v>
      </x:c>
      <x:c r="F10" s="5" t="n">
        <x:v>4</x:v>
      </x:c>
      <x:c r="G10" s="6" t="n">
        <x:f>(F10-C10-E10-(D10/60*12))/F10</x:f>
        <x:v>0.7</x:v>
      </x:c>
      <x:c r="H10" s="8" t="str">
        <x:v>OK</x:v>
      </x:c>
    </x:row>
    <x:row r="11">
      <x:c r="A11" t="str">
        <x:v>P-401</x:v>
      </x:c>
      <x:c r="B11" t="str">
        <x:v>Sticker pack</x:v>
      </x:c>
      <x:c r="C11" s="5" t="n">
        <x:v>1.4</x:v>
      </x:c>
      <x:c r="D11" t="n">
        <x:v>5</x:v>
      </x:c>
      <x:c r="E11" s="5" t="n">
        <x:v>0.4</x:v>
      </x:c>
      <x:c r="F11" s="5" t="n">
        <x:v>9</x:v>
      </x:c>
      <x:c r="G11" s="6" t="n">
        <x:f>(F11-C11-E11-(D11/60*12))/F11</x:f>
        <x:v>0.6888888888888888</x:v>
      </x:c>
      <x:c r="H11" s="8" t="str">
        <x:v>Plan</x:v>
      </x:c>
    </x:row>
  </x:sheetData>
  <x:pageMargins left="0.7" right="0.7" top="0.75" bottom="0.75" header="0.3" footer="0.3"/>
  <x:drawing xmlns:r="http://schemas.openxmlformats.org/officeDocument/2006/relationships" r:id="R62edd0ab97194792"/>
</x:worksheet>
</file>