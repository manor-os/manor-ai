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774f67438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ec54810098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$0"/>
    <x:numFmt numFmtId="202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059669"/>
      </x:patternFill>
    </x:fill>
    <x:fill>
      <x:patternFill patternType="solid">
        <x:fgColor rgb="04785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be67274de42a2" /><Relationship Type="http://schemas.openxmlformats.org/officeDocument/2006/relationships/theme" Target="/xl/theme/theme1.xml" Id="Rad0661ae44b940eb" /><Relationship Type="http://schemas.openxmlformats.org/officeDocument/2006/relationships/sharedStrings" Target="/xl/sharedStrings.xml" Id="R9ae909c35acf417c" /><Relationship Type="http://schemas.openxmlformats.org/officeDocument/2006/relationships/worksheet" Target="/xl/worksheets/sheet1.xml" Id="R80ec5481009847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6d015a42e3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vs Profit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'Dashboard'!$A$4:$A$9</c:f>
              <c:strCache>
                <c:ptCount val="0"/>
              </c:strCache>
            </c:strRef>
          </c:cat>
          <c:val>
            <c:numRef>
              <c:f>'Dashboard'!$B$4:$B$9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Costs</c:v>
          </c:tx>
          <c:cat>
            <c:strRef>
              <c:f>'Dashboard'!$A$4:$A$9</c:f>
              <c:strCache>
                <c:ptCount val="0"/>
              </c:strCache>
            </c:strRef>
          </c:cat>
          <c:val>
            <c:numRef>
              <c:f>'Dashboard'!$C$4:$C$9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</c:v>
          </c:tx>
          <c:cat>
            <c:strRef>
              <c:f>'Dashboard'!$A$4:$A$9</c:f>
              <c:strCache>
                <c:ptCount val="0"/>
              </c:strCache>
            </c:strRef>
          </c:cat>
          <c:val>
            <c:numRef>
              <c:f>'Dashboard'!$D$4:$D$9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6d015a42e347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4a5cf8ef0d4daf" /></Relationships>
</file>

<file path=xl/worksheets/sheet1.xml><?xml version="1.0" encoding="utf-8"?>
<x:worksheet xmlns:x="http://schemas.openxmlformats.org/spreadsheetml/2006/main">
  <x:sheetFormatPr defaultRowHeight="15"/>
  <x:cols>
    <x:col min="1" max="1" width="12.149999618530273" hidden="0" customWidth="1"/>
    <x:col min="2" max="2" width="12.149999618530273" hidden="0" customWidth="1"/>
    <x:col min="3" max="3" width="12.149999618530273" hidden="0" customWidth="1"/>
    <x:col min="4" max="4" width="12.149999618530273" hidden="0" customWidth="1"/>
    <x:col min="5" max="5" width="12.149999618530273" hidden="0" customWidth="1"/>
    <x:col min="6" max="6" width="12.149999618530273" hidden="0" customWidth="1"/>
    <x:col min="8" max="8" width="15.34000015258789" hidden="0" customWidth="1"/>
    <x:col min="9" max="9" width="12.880000114440918" hidden="0" customWidth="1"/>
  </x:cols>
  <x:sheetData>
    <x:row r="1">
      <x:c r="A1" s="2" t="str">
        <x:v>副业收入看板</x:v>
      </x:c>
      <x:c r="B1" s="2" t="str"/>
      <x:c r="C1" s="2" t="str"/>
      <x:c r="D1" s="2" t="str"/>
      <x:c r="E1" s="2" t="str"/>
      <x:c r="F1" s="2" t="str"/>
    </x:row>
    <x:row r="3">
      <x:c r="A3" s="4" t="str">
        <x:v>Month</x:v>
      </x:c>
      <x:c r="B3" s="4" t="str">
        <x:v>Revenue</x:v>
      </x:c>
      <x:c r="C3" s="4" t="str">
        <x:v>Costs</x:v>
      </x:c>
      <x:c r="D3" s="4" t="str">
        <x:v>Profit</x:v>
      </x:c>
      <x:c r="E3" s="4" t="str">
        <x:v>Orders</x:v>
      </x:c>
      <x:c r="F3" s="4" t="str">
        <x:v>Avg Order</x:v>
      </x:c>
      <x:c r="H3" s="8" t="str">
        <x:v>Metric</x:v>
      </x:c>
      <x:c r="I3" s="8" t="str">
        <x:v>Value</x:v>
      </x:c>
    </x:row>
    <x:row r="4">
      <x:c r="A4" t="str">
        <x:v>Jan</x:v>
      </x:c>
      <x:c r="B4" s="5" t="n">
        <x:v>1480</x:v>
      </x:c>
      <x:c r="C4" s="5" t="n">
        <x:v>420</x:v>
      </x:c>
      <x:c r="D4" s="5" t="n">
        <x:f>B4-C4</x:f>
        <x:v>1060</x:v>
      </x:c>
      <x:c r="E4" t="n">
        <x:v>34</x:v>
      </x:c>
      <x:c r="F4" s="6" t="n">
        <x:f>B4/E4</x:f>
        <x:v>43.529411764705884</x:v>
      </x:c>
      <x:c r="H4" t="str">
        <x:v>YTD Revenue</x:v>
      </x:c>
      <x:c r="I4" s="5" t="n">
        <x:f>SUM(B4:B9)</x:f>
        <x:v>16710</x:v>
      </x:c>
    </x:row>
    <x:row r="5">
      <x:c r="A5" t="str">
        <x:v>Feb</x:v>
      </x:c>
      <x:c r="B5" s="5" t="n">
        <x:v>1720</x:v>
      </x:c>
      <x:c r="C5" s="5" t="n">
        <x:v>510</x:v>
      </x:c>
      <x:c r="D5" s="5" t="n">
        <x:f>B5-C5</x:f>
        <x:v>1210</x:v>
      </x:c>
      <x:c r="E5" t="n">
        <x:v>42</x:v>
      </x:c>
      <x:c r="F5" s="6" t="n">
        <x:f>B5/E5</x:f>
        <x:v>40.95238095238095</x:v>
      </x:c>
      <x:c r="H5" t="str">
        <x:v>YTD Profit</x:v>
      </x:c>
      <x:c r="I5" s="5" t="n">
        <x:f>SUM(D4:D9)</x:f>
        <x:v>12270</x:v>
      </x:c>
    </x:row>
    <x:row r="6">
      <x:c r="A6" t="str">
        <x:v>Mar</x:v>
      </x:c>
      <x:c r="B6" s="5" t="n">
        <x:v>2350</x:v>
      </x:c>
      <x:c r="C6" s="5" t="n">
        <x:v>680</x:v>
      </x:c>
      <x:c r="D6" s="5" t="n">
        <x:f>B6-C6</x:f>
        <x:v>1670</x:v>
      </x:c>
      <x:c r="E6" t="n">
        <x:v>56</x:v>
      </x:c>
      <x:c r="F6" s="6" t="n">
        <x:f>B6/E6</x:f>
        <x:v>41.964285714285715</x:v>
      </x:c>
      <x:c r="H6" t="str">
        <x:v>Profit Margin</x:v>
      </x:c>
      <x:c r="I6" s="9" t="n">
        <x:f>I5/I4</x:f>
        <x:v>0.7342908438061041</x:v>
      </x:c>
    </x:row>
    <x:row r="7">
      <x:c r="A7" t="str">
        <x:v>Apr</x:v>
      </x:c>
      <x:c r="B7" s="5" t="n">
        <x:v>3100</x:v>
      </x:c>
      <x:c r="C7" s="5" t="n">
        <x:v>760</x:v>
      </x:c>
      <x:c r="D7" s="5" t="n">
        <x:f>B7-C7</x:f>
        <x:v>2340</x:v>
      </x:c>
      <x:c r="E7" t="n">
        <x:v>64</x:v>
      </x:c>
      <x:c r="F7" s="6" t="n">
        <x:f>B7/E7</x:f>
        <x:v>48.4375</x:v>
      </x:c>
      <x:c r="H7" t="str">
        <x:v>Best Month</x:v>
      </x:c>
      <x:c r="I7" t="str">
        <x:v>Jun</x:v>
      </x:c>
    </x:row>
    <x:row r="8">
      <x:c r="A8" t="str">
        <x:v>May</x:v>
      </x:c>
      <x:c r="B8" s="5" t="n">
        <x:v>3860</x:v>
      </x:c>
      <x:c r="C8" s="5" t="n">
        <x:v>990</x:v>
      </x:c>
      <x:c r="D8" s="5" t="n">
        <x:f>B8-C8</x:f>
        <x:v>2870</x:v>
      </x:c>
      <x:c r="E8" t="n">
        <x:v>78</x:v>
      </x:c>
      <x:c r="F8" s="6" t="n">
        <x:f>B8/E8</x:f>
        <x:v>49.48717948717949</x:v>
      </x:c>
    </x:row>
    <x:row r="9">
      <x:c r="A9" t="str">
        <x:v>Jun</x:v>
      </x:c>
      <x:c r="B9" s="5" t="n">
        <x:v>4200</x:v>
      </x:c>
      <x:c r="C9" s="5" t="n">
        <x:v>1080</x:v>
      </x:c>
      <x:c r="D9" s="5" t="n">
        <x:f>B9-C9</x:f>
        <x:v>3120</x:v>
      </x:c>
      <x:c r="E9" t="n">
        <x:v>84</x:v>
      </x:c>
      <x:c r="F9" s="6" t="n">
        <x:f>B9/E9</x:f>
        <x:v>50</x:v>
      </x:c>
    </x:row>
  </x:sheetData>
  <x:pageMargins left="0.7" right="0.7" top="0.75" bottom="0.75" header="0.3" footer="0.3"/>
  <x:drawing xmlns:r="http://schemas.openxmlformats.org/officeDocument/2006/relationships" r:id="R1a4a5cf8ef0d4daf"/>
</x:worksheet>
</file>