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13-Week Forecast" sheetId="3" state="visible" r:id="rId3"/>
    <sheet name="Scenarios" sheetId="4" state="visible" r:id="rId4"/>
    <sheet name="Checks" sheetId="5" state="visible" r:id="rId5"/>
  </sheets>
  <definedNames>
    <definedName name="Scenario_Selected">'Assumptions'!$B$4</definedName>
    <definedName name="Forecast_Start">'Assumptions'!$E$5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;[Red]($#,##0);-"/>
    <numFmt numFmtId="166" formatCode="0.0%"/>
    <numFmt numFmtId="167" formatCode="mmm 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color rgb="0000000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5" fontId="3" fillId="5" borderId="1" applyAlignment="1" pivotButton="0" quotePrefix="0" xfId="0">
      <alignment vertical="center" wrapText="1"/>
    </xf>
    <xf numFmtId="3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166" fontId="3" fillId="4" borderId="1" applyAlignment="1" pivotButton="0" quotePrefix="0" xfId="0">
      <alignment vertical="center" wrapText="1"/>
    </xf>
    <xf numFmtId="167" fontId="1" fillId="2" borderId="0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Closing Cash Balance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'13-Week Forecast'!$B$3:$N$3</f>
            </numRef>
          </cat>
          <val>
            <numRef>
              <f>'13-Week Forecast'!$B$13:$N$13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Manor AI</author>
  </authors>
  <commentList>
    <comment ref="B4" authorId="0" shapeId="0">
      <text>
        <t>Change this dropdown to Base, Cautious, or Stretch. Active assumptions in column E drive the forecast.</t>
      </text>
    </comment>
  </commentList>
</comments>
</file>

<file path=xl/comments/comment2.xml><?xml version="1.0" encoding="utf-8"?>
<comments xmlns="http://schemas.openxmlformats.org/spreadsheetml/2006/main">
  <authors>
    <author>Manor AI</author>
  </authors>
  <commentList>
    <comment ref="B13" authorId="0" shapeId="0">
      <text>
        <t>Closing cash = opening cash + weekly net cash flow. Formula is copied consistently across all weeks.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Fieldnote Works — Cash-Flow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Active scenario</t>
        </is>
      </c>
      <c r="B3" s="4">
        <f>Scenario_Selected</f>
        <v/>
      </c>
      <c r="C3" s="2" t="n"/>
      <c r="D3" s="3" t="inlineStr">
        <is>
          <t>Model status</t>
        </is>
      </c>
      <c r="E3" s="4">
        <f>Checks!B10</f>
        <v/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Opening cash</t>
        </is>
      </c>
      <c r="B5" s="5">
        <f>'13-Week Forecast'!B4</f>
        <v/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13-week receipts</t>
        </is>
      </c>
      <c r="B6" s="5">
        <f>SUM('13-Week Forecast'!B5:N5)+SUM('13-Week Forecast'!B10:N10)</f>
        <v/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13-week outflows</t>
        </is>
      </c>
      <c r="B7" s="5">
        <f>SUM('13-Week Forecast'!B6:N9)+SUM('13-Week Forecast'!B11:N11)</f>
        <v/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Ending cash</t>
        </is>
      </c>
      <c r="B8" s="5">
        <f>'13-Week Forecast'!N13</f>
        <v/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Minimum cash</t>
        </is>
      </c>
      <c r="B9" s="5">
        <f>MIN('13-Week Forecast'!B13:N13)</f>
        <v/>
      </c>
      <c r="C9" s="2" t="n"/>
      <c r="D9" s="2" t="n"/>
      <c r="E9" s="2" t="n"/>
      <c r="F9" s="2" t="n"/>
      <c r="G9" s="2" t="n"/>
      <c r="H9" s="2" t="n"/>
    </row>
    <row r="10">
      <c r="A10" s="3" t="inlineStr">
        <is>
          <t>Ending runway</t>
        </is>
      </c>
      <c r="B10" s="6">
        <f>'13-Week Forecast'!N14</f>
        <v/>
      </c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Worst weekly status</t>
        </is>
      </c>
      <c r="B11" s="4">
        <f>IF(COUNTIF('13-Week Forecast'!B15:N15,"Critical")&gt;0,"Critical",IF(COUNTIF('13-Week Forecast'!B15:N15,"At Risk")&gt;0,"At Risk",IF(COUNTIF('13-Week Forecast'!B15:N15,"Watch")&gt;0,"Watch","Healthy")))</f>
        <v/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7" t="inlineStr">
        <is>
          <t>Cash balance trend</t>
        </is>
      </c>
      <c r="B14" s="2" t="n"/>
      <c r="C14" s="2" t="n"/>
      <c r="D14" s="2" t="n"/>
      <c r="E14" s="2" t="n"/>
      <c r="F14" s="2" t="n"/>
      <c r="G14" s="2" t="n"/>
      <c r="H14" s="2" t="n"/>
    </row>
  </sheetData>
  <mergeCells count="2">
    <mergeCell ref="A14:H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Fieldnote Works — 13-Week Cash-Flow Forecast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7" t="inlineStr">
        <is>
          <t>Input / Control</t>
        </is>
      </c>
      <c r="B3" s="7" t="inlineStr">
        <is>
          <t>Base</t>
        </is>
      </c>
      <c r="C3" s="7" t="inlineStr">
        <is>
          <t>Cautious</t>
        </is>
      </c>
      <c r="D3" s="7" t="inlineStr">
        <is>
          <t>Stretch</t>
        </is>
      </c>
      <c r="E3" s="7" t="inlineStr">
        <is>
          <t>Active</t>
        </is>
      </c>
      <c r="F3" s="7" t="inlineStr">
        <is>
          <t>Notes</t>
        </is>
      </c>
    </row>
    <row r="4">
      <c r="A4" s="8" t="inlineStr">
        <is>
          <t>Scenario selected</t>
        </is>
      </c>
      <c r="B4" s="9" t="inlineStr">
        <is>
          <t>Base</t>
        </is>
      </c>
      <c r="C4" s="8" t="inlineStr"/>
      <c r="D4" s="8" t="inlineStr"/>
      <c r="E4" s="8" t="inlineStr"/>
      <c r="F4" s="8" t="inlineStr">
        <is>
          <t>Use dropdown: Base, Cautious, Stretch</t>
        </is>
      </c>
    </row>
    <row r="5">
      <c r="A5" s="8" t="inlineStr">
        <is>
          <t>Forecast start date</t>
        </is>
      </c>
      <c r="B5" s="10" t="n">
        <v>46244</v>
      </c>
      <c r="C5" s="11" t="inlineStr"/>
      <c r="D5" s="11" t="inlineStr"/>
      <c r="E5" s="4">
        <f>B5</f>
        <v/>
      </c>
      <c r="F5" s="8" t="inlineStr">
        <is>
          <t>Monday week start</t>
        </is>
      </c>
    </row>
    <row r="6">
      <c r="A6" s="8" t="inlineStr">
        <is>
          <t>Opening cash</t>
        </is>
      </c>
      <c r="B6" s="12" t="n">
        <v>28500</v>
      </c>
      <c r="C6" s="12" t="n">
        <v>24000</v>
      </c>
      <c r="D6" s="12" t="n">
        <v>32000</v>
      </c>
      <c r="E6" s="4">
        <f>INDEX(B6:D6,1,MATCH($B$4,$B$20:$D$20,0))</f>
        <v/>
      </c>
      <c r="F6" s="8" t="inlineStr">
        <is>
          <t>Cash available at start of Week 1</t>
        </is>
      </c>
    </row>
    <row r="7">
      <c r="A7" s="8" t="inlineStr">
        <is>
          <t>Minimum cash buffer</t>
        </is>
      </c>
      <c r="B7" s="12" t="n">
        <v>12000</v>
      </c>
      <c r="C7" s="12" t="n">
        <v>14000</v>
      </c>
      <c r="D7" s="12" t="n">
        <v>10000</v>
      </c>
      <c r="E7" s="4">
        <f>INDEX(B7:D7,1,MATCH($B$4,$B$20:$D$20,0))</f>
        <v/>
      </c>
      <c r="F7" s="8" t="inlineStr">
        <is>
          <t>Below this threshold = At Risk</t>
        </is>
      </c>
    </row>
    <row r="8">
      <c r="A8" s="8" t="inlineStr">
        <is>
          <t>Weekly fixed expenses</t>
        </is>
      </c>
      <c r="B8" s="13" t="n">
        <v>3650</v>
      </c>
      <c r="C8" s="13" t="n">
        <v>3650</v>
      </c>
      <c r="D8" s="13" t="n">
        <v>3650</v>
      </c>
      <c r="E8" s="4">
        <f>INDEX(B8:D8,1,MATCH($B$4,$B$20:$D$20,0))</f>
        <v/>
      </c>
      <c r="F8" s="8" t="inlineStr">
        <is>
          <t>Tools, contractor retainers, hosting, insurance, rent</t>
        </is>
      </c>
    </row>
    <row r="9">
      <c r="A9" s="8" t="inlineStr">
        <is>
          <t>Variable expense rate</t>
        </is>
      </c>
      <c r="B9" s="11" t="n">
        <v>0.18</v>
      </c>
      <c r="C9" s="11" t="n">
        <v>0.16</v>
      </c>
      <c r="D9" s="11" t="n">
        <v>0.22</v>
      </c>
      <c r="E9" s="4">
        <f>INDEX(B9:D9,1,MATCH($B$4,$B$20:$D$20,0))</f>
        <v/>
      </c>
      <c r="F9" s="8" t="inlineStr">
        <is>
          <t>As % of receipts</t>
        </is>
      </c>
    </row>
    <row r="10">
      <c r="A10" s="8" t="inlineStr">
        <is>
          <t>Tax reserve rate</t>
        </is>
      </c>
      <c r="B10" s="11" t="n">
        <v>0.25</v>
      </c>
      <c r="C10" s="11" t="n">
        <v>0.25</v>
      </c>
      <c r="D10" s="11" t="n">
        <v>0.25</v>
      </c>
      <c r="E10" s="4">
        <f>INDEX(B10:D10,1,MATCH($B$4,$B$20:$D$20,0))</f>
        <v/>
      </c>
      <c r="F10" s="8" t="inlineStr">
        <is>
          <t>Reserve against receipts less variable costs</t>
        </is>
      </c>
    </row>
    <row r="11">
      <c r="A11" s="8" t="inlineStr">
        <is>
          <t>Owner draw / week</t>
        </is>
      </c>
      <c r="B11" s="12" t="n">
        <v>1800</v>
      </c>
      <c r="C11" s="12" t="n">
        <v>1500</v>
      </c>
      <c r="D11" s="12" t="n">
        <v>2200</v>
      </c>
      <c r="E11" s="4">
        <f>INDEX(B11:D11,1,MATCH($B$4,$B$20:$D$20,0))</f>
        <v/>
      </c>
      <c r="F11" s="8" t="inlineStr">
        <is>
          <t>Planned owner distribution</t>
        </is>
      </c>
    </row>
    <row r="12">
      <c r="A12" s="8" t="inlineStr">
        <is>
          <t>Starting pipeline receipts W1</t>
        </is>
      </c>
      <c r="B12" s="13" t="n">
        <v>8200</v>
      </c>
      <c r="C12" s="13" t="n">
        <v>6000</v>
      </c>
      <c r="D12" s="13" t="n">
        <v>9500</v>
      </c>
      <c r="E12" s="4">
        <f>INDEX(B12:D12,1,MATCH($B$4,$B$20:$D$20,0))</f>
        <v/>
      </c>
      <c r="F12" s="8" t="inlineStr">
        <is>
          <t>Recurring + expected project cash receipts</t>
        </is>
      </c>
    </row>
    <row r="13">
      <c r="A13" s="8" t="inlineStr">
        <is>
          <t>Weekly receipt growth</t>
        </is>
      </c>
      <c r="B13" s="11" t="n">
        <v>0.03</v>
      </c>
      <c r="C13" s="11" t="n">
        <v>-0.02</v>
      </c>
      <c r="D13" s="11" t="n">
        <v>0.06</v>
      </c>
      <c r="E13" s="4">
        <f>INDEX(B13:D13,1,MATCH($B$4,$B$20:$D$20,0))</f>
        <v/>
      </c>
      <c r="F13" s="8" t="inlineStr">
        <is>
          <t>Scenario receipt trend</t>
        </is>
      </c>
    </row>
    <row r="14">
      <c r="A14" s="8" t="inlineStr">
        <is>
          <t>Collection timing adjustment</t>
        </is>
      </c>
      <c r="B14" s="11" t="n">
        <v>1</v>
      </c>
      <c r="C14" s="11" t="n">
        <v>0.85</v>
      </c>
      <c r="D14" s="11" t="n">
        <v>1.12</v>
      </c>
      <c r="E14" s="4">
        <f>INDEX(B14:D14,1,MATCH($B$4,$B$20:$D$20,0))</f>
        <v/>
      </c>
      <c r="F14" s="8" t="inlineStr">
        <is>
          <t>Applies to expected receipts</t>
        </is>
      </c>
    </row>
    <row r="15">
      <c r="A15" s="8" t="inlineStr">
        <is>
          <t>One-time receipt W4</t>
        </is>
      </c>
      <c r="B15" s="12" t="n">
        <v>4500</v>
      </c>
      <c r="C15" s="12" t="n">
        <v>0</v>
      </c>
      <c r="D15" s="12" t="n">
        <v>6500</v>
      </c>
      <c r="E15" s="4">
        <f>INDEX(B15:D15,1,MATCH($B$4,$B$20:$D$20,0))</f>
        <v/>
      </c>
      <c r="F15" s="8" t="inlineStr">
        <is>
          <t>Example launch/payment milestone</t>
        </is>
      </c>
    </row>
    <row r="16">
      <c r="A16" s="8" t="inlineStr">
        <is>
          <t>One-time expense W7</t>
        </is>
      </c>
      <c r="B16" s="12" t="n">
        <v>3000</v>
      </c>
      <c r="C16" s="12" t="n">
        <v>4500</v>
      </c>
      <c r="D16" s="12" t="n">
        <v>2500</v>
      </c>
      <c r="E16" s="4">
        <f>INDEX(B16:D16,1,MATCH($B$4,$B$20:$D$20,0))</f>
        <v/>
      </c>
      <c r="F16" s="8" t="inlineStr">
        <is>
          <t>Example equipment/legal/contractor spike</t>
        </is>
      </c>
    </row>
    <row r="17">
      <c r="A17" s="8" t="inlineStr">
        <is>
          <t>Runway warning threshold (weeks)</t>
        </is>
      </c>
      <c r="B17" s="11" t="n">
        <v>8</v>
      </c>
      <c r="C17" s="11" t="n">
        <v>10</v>
      </c>
      <c r="D17" s="11" t="n">
        <v>6</v>
      </c>
      <c r="E17" s="4">
        <f>INDEX(B17:D17,1,MATCH($B$4,$B$20:$D$20,0))</f>
        <v/>
      </c>
      <c r="F17" s="8" t="inlineStr">
        <is>
          <t>Displayed on Summary</t>
        </is>
      </c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7" t="inlineStr">
        <is>
          <t>Base</t>
        </is>
      </c>
      <c r="C20" s="7" t="inlineStr">
        <is>
          <t>Cautious</t>
        </is>
      </c>
      <c r="D20" s="7" t="inlineStr">
        <is>
          <t>Stretch</t>
        </is>
      </c>
      <c r="E20" s="2" t="n"/>
      <c r="F20" s="2" t="n"/>
    </row>
  </sheetData>
  <mergeCells count="1">
    <mergeCell ref="A1:F1"/>
  </mergeCells>
  <dataValidations count="1">
    <dataValidation sqref="B4" showDropDown="0" showInputMessage="0" showErrorMessage="0" allowBlank="0" type="list">
      <formula1>"Base,Cautious,Stretch"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13-Week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7" t="inlineStr">
        <is>
          <t>Line Item</t>
        </is>
      </c>
      <c r="B3" s="14">
        <f>Forecast_Start+0</f>
        <v/>
      </c>
      <c r="C3" s="14">
        <f>Forecast_Start+7</f>
        <v/>
      </c>
      <c r="D3" s="14">
        <f>Forecast_Start+14</f>
        <v/>
      </c>
      <c r="E3" s="14">
        <f>Forecast_Start+21</f>
        <v/>
      </c>
      <c r="F3" s="14">
        <f>Forecast_Start+28</f>
        <v/>
      </c>
      <c r="G3" s="14">
        <f>Forecast_Start+35</f>
        <v/>
      </c>
      <c r="H3" s="14">
        <f>Forecast_Start+42</f>
        <v/>
      </c>
      <c r="I3" s="14">
        <f>Forecast_Start+49</f>
        <v/>
      </c>
      <c r="J3" s="14">
        <f>Forecast_Start+56</f>
        <v/>
      </c>
      <c r="K3" s="14">
        <f>Forecast_Start+63</f>
        <v/>
      </c>
      <c r="L3" s="14">
        <f>Forecast_Start+70</f>
        <v/>
      </c>
      <c r="M3" s="14">
        <f>Forecast_Start+77</f>
        <v/>
      </c>
      <c r="N3" s="14">
        <f>Forecast_Start+84</f>
        <v/>
      </c>
    </row>
    <row r="4">
      <c r="A4" s="3" t="inlineStr">
        <is>
          <t>Opening cash</t>
        </is>
      </c>
      <c r="B4" s="5">
        <f>Assumptions!$E$6</f>
        <v/>
      </c>
      <c r="C4" s="5">
        <f>B13</f>
        <v/>
      </c>
      <c r="D4" s="5">
        <f>C13</f>
        <v/>
      </c>
      <c r="E4" s="5">
        <f>D13</f>
        <v/>
      </c>
      <c r="F4" s="5">
        <f>E13</f>
        <v/>
      </c>
      <c r="G4" s="5">
        <f>F13</f>
        <v/>
      </c>
      <c r="H4" s="5">
        <f>G13</f>
        <v/>
      </c>
      <c r="I4" s="5">
        <f>H13</f>
        <v/>
      </c>
      <c r="J4" s="5">
        <f>I13</f>
        <v/>
      </c>
      <c r="K4" s="5">
        <f>J13</f>
        <v/>
      </c>
      <c r="L4" s="5">
        <f>K13</f>
        <v/>
      </c>
      <c r="M4" s="5">
        <f>L13</f>
        <v/>
      </c>
      <c r="N4" s="5">
        <f>M13</f>
        <v/>
      </c>
    </row>
    <row r="5">
      <c r="A5" s="15" t="inlineStr">
        <is>
          <t>Expected receipts</t>
        </is>
      </c>
      <c r="B5" s="5">
        <f>Assumptions!$E$12*POWER(1+Assumptions!$E$13,0)*Assumptions!$E$14</f>
        <v/>
      </c>
      <c r="C5" s="5">
        <f>Assumptions!$E$12*POWER(1+Assumptions!$E$13,1)*Assumptions!$E$14</f>
        <v/>
      </c>
      <c r="D5" s="5">
        <f>Assumptions!$E$12*POWER(1+Assumptions!$E$13,2)*Assumptions!$E$14</f>
        <v/>
      </c>
      <c r="E5" s="5">
        <f>Assumptions!$E$12*POWER(1+Assumptions!$E$13,3)*Assumptions!$E$14</f>
        <v/>
      </c>
      <c r="F5" s="5">
        <f>Assumptions!$E$12*POWER(1+Assumptions!$E$13,4)*Assumptions!$E$14</f>
        <v/>
      </c>
      <c r="G5" s="5">
        <f>Assumptions!$E$12*POWER(1+Assumptions!$E$13,5)*Assumptions!$E$14</f>
        <v/>
      </c>
      <c r="H5" s="5">
        <f>Assumptions!$E$12*POWER(1+Assumptions!$E$13,6)*Assumptions!$E$14</f>
        <v/>
      </c>
      <c r="I5" s="5">
        <f>Assumptions!$E$12*POWER(1+Assumptions!$E$13,7)*Assumptions!$E$14</f>
        <v/>
      </c>
      <c r="J5" s="5">
        <f>Assumptions!$E$12*POWER(1+Assumptions!$E$13,8)*Assumptions!$E$14</f>
        <v/>
      </c>
      <c r="K5" s="5">
        <f>Assumptions!$E$12*POWER(1+Assumptions!$E$13,9)*Assumptions!$E$14</f>
        <v/>
      </c>
      <c r="L5" s="5">
        <f>Assumptions!$E$12*POWER(1+Assumptions!$E$13,10)*Assumptions!$E$14</f>
        <v/>
      </c>
      <c r="M5" s="5">
        <f>Assumptions!$E$12*POWER(1+Assumptions!$E$13,11)*Assumptions!$E$14</f>
        <v/>
      </c>
      <c r="N5" s="5">
        <f>Assumptions!$E$12*POWER(1+Assumptions!$E$13,12)*Assumptions!$E$14</f>
        <v/>
      </c>
    </row>
    <row r="6">
      <c r="A6" s="15" t="inlineStr">
        <is>
          <t>Fixed expenses</t>
        </is>
      </c>
      <c r="B6" s="5">
        <f>Assumptions!$E$8</f>
        <v/>
      </c>
      <c r="C6" s="5">
        <f>Assumptions!$E$8</f>
        <v/>
      </c>
      <c r="D6" s="5">
        <f>Assumptions!$E$8</f>
        <v/>
      </c>
      <c r="E6" s="5">
        <f>Assumptions!$E$8</f>
        <v/>
      </c>
      <c r="F6" s="5">
        <f>Assumptions!$E$8</f>
        <v/>
      </c>
      <c r="G6" s="5">
        <f>Assumptions!$E$8</f>
        <v/>
      </c>
      <c r="H6" s="5">
        <f>Assumptions!$E$8</f>
        <v/>
      </c>
      <c r="I6" s="5">
        <f>Assumptions!$E$8</f>
        <v/>
      </c>
      <c r="J6" s="5">
        <f>Assumptions!$E$8</f>
        <v/>
      </c>
      <c r="K6" s="5">
        <f>Assumptions!$E$8</f>
        <v/>
      </c>
      <c r="L6" s="5">
        <f>Assumptions!$E$8</f>
        <v/>
      </c>
      <c r="M6" s="5">
        <f>Assumptions!$E$8</f>
        <v/>
      </c>
      <c r="N6" s="5">
        <f>Assumptions!$E$8</f>
        <v/>
      </c>
    </row>
    <row r="7">
      <c r="A7" s="15" t="inlineStr">
        <is>
          <t>Variable expenses</t>
        </is>
      </c>
      <c r="B7" s="5">
        <f>B5*Assumptions!$E$9</f>
        <v/>
      </c>
      <c r="C7" s="5">
        <f>C5*Assumptions!$E$9</f>
        <v/>
      </c>
      <c r="D7" s="5">
        <f>D5*Assumptions!$E$9</f>
        <v/>
      </c>
      <c r="E7" s="5">
        <f>E5*Assumptions!$E$9</f>
        <v/>
      </c>
      <c r="F7" s="5">
        <f>F5*Assumptions!$E$9</f>
        <v/>
      </c>
      <c r="G7" s="5">
        <f>G5*Assumptions!$E$9</f>
        <v/>
      </c>
      <c r="H7" s="5">
        <f>H5*Assumptions!$E$9</f>
        <v/>
      </c>
      <c r="I7" s="5">
        <f>I5*Assumptions!$E$9</f>
        <v/>
      </c>
      <c r="J7" s="5">
        <f>J5*Assumptions!$E$9</f>
        <v/>
      </c>
      <c r="K7" s="5">
        <f>K5*Assumptions!$E$9</f>
        <v/>
      </c>
      <c r="L7" s="5">
        <f>L5*Assumptions!$E$9</f>
        <v/>
      </c>
      <c r="M7" s="5">
        <f>M5*Assumptions!$E$9</f>
        <v/>
      </c>
      <c r="N7" s="5">
        <f>N5*Assumptions!$E$9</f>
        <v/>
      </c>
    </row>
    <row r="8">
      <c r="A8" s="15" t="inlineStr">
        <is>
          <t>Tax reserve</t>
        </is>
      </c>
      <c r="B8" s="5">
        <f>MAX(0,(B5-B7)*Assumptions!$E$10)</f>
        <v/>
      </c>
      <c r="C8" s="5">
        <f>MAX(0,(C5-C7)*Assumptions!$E$10)</f>
        <v/>
      </c>
      <c r="D8" s="5">
        <f>MAX(0,(D5-D7)*Assumptions!$E$10)</f>
        <v/>
      </c>
      <c r="E8" s="5">
        <f>MAX(0,(E5-E7)*Assumptions!$E$10)</f>
        <v/>
      </c>
      <c r="F8" s="5">
        <f>MAX(0,(F5-F7)*Assumptions!$E$10)</f>
        <v/>
      </c>
      <c r="G8" s="5">
        <f>MAX(0,(G5-G7)*Assumptions!$E$10)</f>
        <v/>
      </c>
      <c r="H8" s="5">
        <f>MAX(0,(H5-H7)*Assumptions!$E$10)</f>
        <v/>
      </c>
      <c r="I8" s="5">
        <f>MAX(0,(I5-I7)*Assumptions!$E$10)</f>
        <v/>
      </c>
      <c r="J8" s="5">
        <f>MAX(0,(J5-J7)*Assumptions!$E$10)</f>
        <v/>
      </c>
      <c r="K8" s="5">
        <f>MAX(0,(K5-K7)*Assumptions!$E$10)</f>
        <v/>
      </c>
      <c r="L8" s="5">
        <f>MAX(0,(L5-L7)*Assumptions!$E$10)</f>
        <v/>
      </c>
      <c r="M8" s="5">
        <f>MAX(0,(M5-M7)*Assumptions!$E$10)</f>
        <v/>
      </c>
      <c r="N8" s="5">
        <f>MAX(0,(N5-N7)*Assumptions!$E$10)</f>
        <v/>
      </c>
    </row>
    <row r="9">
      <c r="A9" s="15" t="inlineStr">
        <is>
          <t>Owner draw</t>
        </is>
      </c>
      <c r="B9" s="5">
        <f>Assumptions!$E$11</f>
        <v/>
      </c>
      <c r="C9" s="5">
        <f>Assumptions!$E$11</f>
        <v/>
      </c>
      <c r="D9" s="5">
        <f>Assumptions!$E$11</f>
        <v/>
      </c>
      <c r="E9" s="5">
        <f>Assumptions!$E$11</f>
        <v/>
      </c>
      <c r="F9" s="5">
        <f>Assumptions!$E$11</f>
        <v/>
      </c>
      <c r="G9" s="5">
        <f>Assumptions!$E$11</f>
        <v/>
      </c>
      <c r="H9" s="5">
        <f>Assumptions!$E$11</f>
        <v/>
      </c>
      <c r="I9" s="5">
        <f>Assumptions!$E$11</f>
        <v/>
      </c>
      <c r="J9" s="5">
        <f>Assumptions!$E$11</f>
        <v/>
      </c>
      <c r="K9" s="5">
        <f>Assumptions!$E$11</f>
        <v/>
      </c>
      <c r="L9" s="5">
        <f>Assumptions!$E$11</f>
        <v/>
      </c>
      <c r="M9" s="5">
        <f>Assumptions!$E$11</f>
        <v/>
      </c>
      <c r="N9" s="5">
        <f>Assumptions!$E$11</f>
        <v/>
      </c>
    </row>
    <row r="10">
      <c r="A10" s="15" t="inlineStr">
        <is>
          <t>One-time receipts</t>
        </is>
      </c>
      <c r="B10" s="5">
        <f>0</f>
        <v/>
      </c>
      <c r="C10" s="5">
        <f>0</f>
        <v/>
      </c>
      <c r="D10" s="5">
        <f>0</f>
        <v/>
      </c>
      <c r="E10" s="5">
        <f>Assumptions!$E$15</f>
        <v/>
      </c>
      <c r="F10" s="5">
        <f>0</f>
        <v/>
      </c>
      <c r="G10" s="5">
        <f>0</f>
        <v/>
      </c>
      <c r="H10" s="5">
        <f>0</f>
        <v/>
      </c>
      <c r="I10" s="5">
        <f>0</f>
        <v/>
      </c>
      <c r="J10" s="5">
        <f>0</f>
        <v/>
      </c>
      <c r="K10" s="5">
        <f>0</f>
        <v/>
      </c>
      <c r="L10" s="5">
        <f>0</f>
        <v/>
      </c>
      <c r="M10" s="5">
        <f>0</f>
        <v/>
      </c>
      <c r="N10" s="5">
        <f>0</f>
        <v/>
      </c>
    </row>
    <row r="11">
      <c r="A11" s="15" t="inlineStr">
        <is>
          <t>One-time expenses</t>
        </is>
      </c>
      <c r="B11" s="5">
        <f>0</f>
        <v/>
      </c>
      <c r="C11" s="5">
        <f>0</f>
        <v/>
      </c>
      <c r="D11" s="5">
        <f>0</f>
        <v/>
      </c>
      <c r="E11" s="5">
        <f>0</f>
        <v/>
      </c>
      <c r="F11" s="5">
        <f>0</f>
        <v/>
      </c>
      <c r="G11" s="5">
        <f>0</f>
        <v/>
      </c>
      <c r="H11" s="5">
        <f>Assumptions!$E$16</f>
        <v/>
      </c>
      <c r="I11" s="5">
        <f>0</f>
        <v/>
      </c>
      <c r="J11" s="5">
        <f>0</f>
        <v/>
      </c>
      <c r="K11" s="5">
        <f>0</f>
        <v/>
      </c>
      <c r="L11" s="5">
        <f>0</f>
        <v/>
      </c>
      <c r="M11" s="5">
        <f>0</f>
        <v/>
      </c>
      <c r="N11" s="5">
        <f>0</f>
        <v/>
      </c>
    </row>
    <row r="12">
      <c r="A12" s="3" t="inlineStr">
        <is>
          <t>Net cash flow</t>
        </is>
      </c>
      <c r="B12" s="5">
        <f>B5+B10-B6-B7-B8-B9-B11</f>
        <v/>
      </c>
      <c r="C12" s="5">
        <f>C5+C10-C6-C7-C8-C9-C11</f>
        <v/>
      </c>
      <c r="D12" s="5">
        <f>D5+D10-D6-D7-D8-D9-D11</f>
        <v/>
      </c>
      <c r="E12" s="5">
        <f>E5+E10-E6-E7-E8-E9-E11</f>
        <v/>
      </c>
      <c r="F12" s="5">
        <f>F5+F10-F6-F7-F8-F9-F11</f>
        <v/>
      </c>
      <c r="G12" s="5">
        <f>G5+G10-G6-G7-G8-G9-G11</f>
        <v/>
      </c>
      <c r="H12" s="5">
        <f>H5+H10-H6-H7-H8-H9-H11</f>
        <v/>
      </c>
      <c r="I12" s="5">
        <f>I5+I10-I6-I7-I8-I9-I11</f>
        <v/>
      </c>
      <c r="J12" s="5">
        <f>J5+J10-J6-J7-J8-J9-J11</f>
        <v/>
      </c>
      <c r="K12" s="5">
        <f>K5+K10-K6-K7-K8-K9-K11</f>
        <v/>
      </c>
      <c r="L12" s="5">
        <f>L5+L10-L6-L7-L8-L9-L11</f>
        <v/>
      </c>
      <c r="M12" s="5">
        <f>M5+M10-M6-M7-M8-M9-M11</f>
        <v/>
      </c>
      <c r="N12" s="5">
        <f>N5+N10-N6-N7-N8-N9-N11</f>
        <v/>
      </c>
    </row>
    <row r="13">
      <c r="A13" s="3" t="inlineStr">
        <is>
          <t>Closing cash</t>
        </is>
      </c>
      <c r="B13" s="5">
        <f>B4+B12</f>
        <v/>
      </c>
      <c r="C13" s="5">
        <f>C4+C12</f>
        <v/>
      </c>
      <c r="D13" s="5">
        <f>D4+D12</f>
        <v/>
      </c>
      <c r="E13" s="5">
        <f>E4+E12</f>
        <v/>
      </c>
      <c r="F13" s="5">
        <f>F4+F12</f>
        <v/>
      </c>
      <c r="G13" s="5">
        <f>G4+G12</f>
        <v/>
      </c>
      <c r="H13" s="5">
        <f>H4+H12</f>
        <v/>
      </c>
      <c r="I13" s="5">
        <f>I4+I12</f>
        <v/>
      </c>
      <c r="J13" s="5">
        <f>J4+J12</f>
        <v/>
      </c>
      <c r="K13" s="5">
        <f>K4+K12</f>
        <v/>
      </c>
      <c r="L13" s="5">
        <f>L4+L12</f>
        <v/>
      </c>
      <c r="M13" s="5">
        <f>M4+M12</f>
        <v/>
      </c>
      <c r="N13" s="5">
        <f>N4+N12</f>
        <v/>
      </c>
    </row>
    <row r="14">
      <c r="A14" s="3" t="inlineStr">
        <is>
          <t>Runway (weeks)</t>
        </is>
      </c>
      <c r="B14" s="6">
        <f>IF((B6+B7+B8+B9)=0,999,B13/(B6+B7+B8+B9))</f>
        <v/>
      </c>
      <c r="C14" s="6">
        <f>IF((C6+C7+C8+C9)=0,999,C13/(C6+C7+C8+C9))</f>
        <v/>
      </c>
      <c r="D14" s="6">
        <f>IF((D6+D7+D8+D9)=0,999,D13/(D6+D7+D8+D9))</f>
        <v/>
      </c>
      <c r="E14" s="6">
        <f>IF((E6+E7+E8+E9)=0,999,E13/(E6+E7+E8+E9))</f>
        <v/>
      </c>
      <c r="F14" s="6">
        <f>IF((F6+F7+F8+F9)=0,999,F13/(F6+F7+F8+F9))</f>
        <v/>
      </c>
      <c r="G14" s="6">
        <f>IF((G6+G7+G8+G9)=0,999,G13/(G6+G7+G8+G9))</f>
        <v/>
      </c>
      <c r="H14" s="6">
        <f>IF((H6+H7+H8+H9)=0,999,H13/(H6+H7+H8+H9))</f>
        <v/>
      </c>
      <c r="I14" s="6">
        <f>IF((I6+I7+I8+I9)=0,999,I13/(I6+I7+I8+I9))</f>
        <v/>
      </c>
      <c r="J14" s="6">
        <f>IF((J6+J7+J8+J9)=0,999,J13/(J6+J7+J8+J9))</f>
        <v/>
      </c>
      <c r="K14" s="6">
        <f>IF((K6+K7+K8+K9)=0,999,K13/(K6+K7+K8+K9))</f>
        <v/>
      </c>
      <c r="L14" s="6">
        <f>IF((L6+L7+L8+L9)=0,999,L13/(L6+L7+L8+L9))</f>
        <v/>
      </c>
      <c r="M14" s="6">
        <f>IF((M6+M7+M8+M9)=0,999,M13/(M6+M7+M8+M9))</f>
        <v/>
      </c>
      <c r="N14" s="6">
        <f>IF((N6+N7+N8+N9)=0,999,N13/(N6+N7+N8+N9))</f>
        <v/>
      </c>
    </row>
    <row r="15">
      <c r="A15" s="3" t="inlineStr">
        <is>
          <t>Weekly risk status</t>
        </is>
      </c>
      <c r="B15" s="4">
        <f>IF(B13&lt;Assumptions!$E$6*0.1,"Critical",IF(B13&lt;Assumptions!$E$7,"At Risk",IF(B14&lt;Assumptions!$E$17,"Watch","Healthy")))</f>
        <v/>
      </c>
      <c r="C15" s="4">
        <f>IF(C13&lt;Assumptions!$E$6*0.1,"Critical",IF(C13&lt;Assumptions!$E$7,"At Risk",IF(C14&lt;Assumptions!$E$17,"Watch","Healthy")))</f>
        <v/>
      </c>
      <c r="D15" s="4">
        <f>IF(D13&lt;Assumptions!$E$6*0.1,"Critical",IF(D13&lt;Assumptions!$E$7,"At Risk",IF(D14&lt;Assumptions!$E$17,"Watch","Healthy")))</f>
        <v/>
      </c>
      <c r="E15" s="4">
        <f>IF(E13&lt;Assumptions!$E$6*0.1,"Critical",IF(E13&lt;Assumptions!$E$7,"At Risk",IF(E14&lt;Assumptions!$E$17,"Watch","Healthy")))</f>
        <v/>
      </c>
      <c r="F15" s="4">
        <f>IF(F13&lt;Assumptions!$E$6*0.1,"Critical",IF(F13&lt;Assumptions!$E$7,"At Risk",IF(F14&lt;Assumptions!$E$17,"Watch","Healthy")))</f>
        <v/>
      </c>
      <c r="G15" s="4">
        <f>IF(G13&lt;Assumptions!$E$6*0.1,"Critical",IF(G13&lt;Assumptions!$E$7,"At Risk",IF(G14&lt;Assumptions!$E$17,"Watch","Healthy")))</f>
        <v/>
      </c>
      <c r="H15" s="4">
        <f>IF(H13&lt;Assumptions!$E$6*0.1,"Critical",IF(H13&lt;Assumptions!$E$7,"At Risk",IF(H14&lt;Assumptions!$E$17,"Watch","Healthy")))</f>
        <v/>
      </c>
      <c r="I15" s="4">
        <f>IF(I13&lt;Assumptions!$E$6*0.1,"Critical",IF(I13&lt;Assumptions!$E$7,"At Risk",IF(I14&lt;Assumptions!$E$17,"Watch","Healthy")))</f>
        <v/>
      </c>
      <c r="J15" s="4">
        <f>IF(J13&lt;Assumptions!$E$6*0.1,"Critical",IF(J13&lt;Assumptions!$E$7,"At Risk",IF(J14&lt;Assumptions!$E$17,"Watch","Healthy")))</f>
        <v/>
      </c>
      <c r="K15" s="4">
        <f>IF(K13&lt;Assumptions!$E$6*0.1,"Critical",IF(K13&lt;Assumptions!$E$7,"At Risk",IF(K14&lt;Assumptions!$E$17,"Watch","Healthy")))</f>
        <v/>
      </c>
      <c r="L15" s="4">
        <f>IF(L13&lt;Assumptions!$E$6*0.1,"Critical",IF(L13&lt;Assumptions!$E$7,"At Risk",IF(L14&lt;Assumptions!$E$17,"Watch","Healthy")))</f>
        <v/>
      </c>
      <c r="M15" s="4">
        <f>IF(M13&lt;Assumptions!$E$6*0.1,"Critical",IF(M13&lt;Assumptions!$E$7,"At Risk",IF(M14&lt;Assumptions!$E$17,"Watch","Healthy")))</f>
        <v/>
      </c>
      <c r="N15" s="4">
        <f>IF(N13&lt;Assumptions!$E$6*0.1,"Critical",IF(N13&lt;Assumptions!$E$7,"At Risk",IF(N14&lt;Assumptions!$E$17,"Watch","Healthy")))</f>
        <v/>
      </c>
    </row>
  </sheetData>
  <mergeCells count="1">
    <mergeCell ref="A1:N1"/>
  </mergeCells>
  <conditionalFormatting sqref="B15:N15">
    <cfRule type="expression" priority="1" dxfId="0">
      <formula>B15="Healthy"</formula>
    </cfRule>
    <cfRule type="expression" priority="2" dxfId="1">
      <formula>B15="Watch"</formula>
    </cfRule>
    <cfRule type="expression" priority="3" dxfId="2">
      <formula>OR(B15="At Risk",B15="Critical")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Scenario Comparison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7" t="inlineStr">
        <is>
          <t>Metric</t>
        </is>
      </c>
      <c r="B3" s="7" t="inlineStr">
        <is>
          <t>Base</t>
        </is>
      </c>
      <c r="C3" s="7" t="inlineStr">
        <is>
          <t>Cautious</t>
        </is>
      </c>
      <c r="D3" s="7" t="inlineStr">
        <is>
          <t>Stretch</t>
        </is>
      </c>
      <c r="E3" s="7" t="inlineStr">
        <is>
          <t>Notes</t>
        </is>
      </c>
    </row>
    <row r="4">
      <c r="A4" s="15" t="inlineStr">
        <is>
          <t>Opening cash</t>
        </is>
      </c>
      <c r="B4" s="5">
        <f>Assumptions!B$6</f>
        <v/>
      </c>
      <c r="C4" s="5">
        <f>Assumptions!C$6</f>
        <v/>
      </c>
      <c r="D4" s="5">
        <f>Assumptions!D$6</f>
        <v/>
      </c>
      <c r="E4" s="8" t="inlineStr">
        <is>
          <t>Scenario columns use their own assumptions</t>
        </is>
      </c>
    </row>
    <row r="5">
      <c r="A5" s="15" t="inlineStr">
        <is>
          <t>Total receipts</t>
        </is>
      </c>
      <c r="B5" s="5">
        <f>SUMPRODUCT(Assumptions!B$12*POWER(1+Assumptions!B$13,COLUMN($A:$M)-1)*Assumptions!B$14)+Assumptions!B$15</f>
        <v/>
      </c>
      <c r="C5" s="5">
        <f>SUMPRODUCT(Assumptions!C$12*POWER(1+Assumptions!C$13,COLUMN($A:$M)-1)*Assumptions!C$14)+Assumptions!C$15</f>
        <v/>
      </c>
      <c r="D5" s="5">
        <f>SUMPRODUCT(Assumptions!D$12*POWER(1+Assumptions!D$13,COLUMN($A:$M)-1)*Assumptions!D$14)+Assumptions!D$15</f>
        <v/>
      </c>
      <c r="E5" s="2" t="n"/>
    </row>
    <row r="6">
      <c r="A6" s="15" t="inlineStr">
        <is>
          <t>Total outflows</t>
        </is>
      </c>
      <c r="B6" s="5">
        <f>13*(Assumptions!B$8+Assumptions!B$11)+Assumptions!B$9*SUMPRODUCT(Assumptions!B$12*POWER(1+Assumptions!B$13,COLUMN($A:$M)-1)*Assumptions!B$14)+Assumptions!B$10*(SUMPRODUCT(Assumptions!B$12*POWER(1+Assumptions!B$13,COLUMN($A:$M)-1)*Assumptions!B$14)*(1-Assumptions!B$9))+Assumptions!B$16</f>
        <v/>
      </c>
      <c r="C6" s="5">
        <f>13*(Assumptions!C$8+Assumptions!C$11)+Assumptions!C$9*SUMPRODUCT(Assumptions!C$12*POWER(1+Assumptions!C$13,COLUMN($A:$M)-1)*Assumptions!C$14)+Assumptions!C$10*(SUMPRODUCT(Assumptions!C$12*POWER(1+Assumptions!C$13,COLUMN($A:$M)-1)*Assumptions!C$14)*(1-Assumptions!C$9))+Assumptions!C$16</f>
        <v/>
      </c>
      <c r="D6" s="5">
        <f>13*(Assumptions!D$8+Assumptions!D$11)+Assumptions!D$9*SUMPRODUCT(Assumptions!D$12*POWER(1+Assumptions!D$13,COLUMN($A:$M)-1)*Assumptions!D$14)+Assumptions!D$10*(SUMPRODUCT(Assumptions!D$12*POWER(1+Assumptions!D$13,COLUMN($A:$M)-1)*Assumptions!D$14)*(1-Assumptions!D$9))+Assumptions!D$16</f>
        <v/>
      </c>
      <c r="E6" s="2" t="n"/>
    </row>
    <row r="7">
      <c r="A7" s="15" t="inlineStr">
        <is>
          <t>Ending cash</t>
        </is>
      </c>
      <c r="B7" s="5">
        <f>B4+B5-B6</f>
        <v/>
      </c>
      <c r="C7" s="5">
        <f>C4+C5-C6</f>
        <v/>
      </c>
      <c r="D7" s="5">
        <f>D4+D5-D6</f>
        <v/>
      </c>
      <c r="E7" s="2" t="n"/>
    </row>
    <row r="8">
      <c r="A8" s="15" t="inlineStr">
        <is>
          <t>Minimum cash</t>
        </is>
      </c>
      <c r="B8" s="5">
        <f>MIN(B4,B7)</f>
        <v/>
      </c>
      <c r="C8" s="5">
        <f>MIN(C4,C7)</f>
        <v/>
      </c>
      <c r="D8" s="5">
        <f>MIN(D4,D7)</f>
        <v/>
      </c>
      <c r="E8" s="2" t="n"/>
    </row>
    <row r="9">
      <c r="A9" s="15" t="inlineStr">
        <is>
          <t>Weeks below buffer</t>
        </is>
      </c>
      <c r="B9" s="6">
        <f>IF(B7&lt;Assumptions!B$7,1,0)</f>
        <v/>
      </c>
      <c r="C9" s="6">
        <f>IF(C7&lt;Assumptions!C$7,1,0)</f>
        <v/>
      </c>
      <c r="D9" s="6">
        <f>IF(D7&lt;Assumptions!D$7,1,0)</f>
        <v/>
      </c>
      <c r="E9" s="2" t="n"/>
    </row>
    <row r="10">
      <c r="A10" s="15" t="inlineStr">
        <is>
          <t>Ending runway</t>
        </is>
      </c>
      <c r="B10" s="6">
        <f>IF((Assumptions!B$8+Assumptions!B$11+Assumptions!B$12*Assumptions!B$14*Assumptions!B$9+Assumptions!B$12*Assumptions!B$14*(1-Assumptions!B$9)*Assumptions!B$10)=0,999,B7/(Assumptions!B$8+Assumptions!B$11+Assumptions!B$12*Assumptions!B$14*Assumptions!B$9+Assumptions!B$12*Assumptions!B$14*(1-Assumptions!B$9)*Assumptions!B$10))</f>
        <v/>
      </c>
      <c r="C10" s="6">
        <f>IF((Assumptions!C$8+Assumptions!C$11+Assumptions!C$12*Assumptions!C$14*Assumptions!C$9+Assumptions!C$12*Assumptions!C$14*(1-Assumptions!C$9)*Assumptions!C$10)=0,999,C7/(Assumptions!C$8+Assumptions!C$11+Assumptions!C$12*Assumptions!C$14*Assumptions!C$9+Assumptions!C$12*Assumptions!C$14*(1-Assumptions!C$9)*Assumptions!C$10))</f>
        <v/>
      </c>
      <c r="D10" s="6">
        <f>IF((Assumptions!D$8+Assumptions!D$11+Assumptions!D$12*Assumptions!D$14*Assumptions!D$9+Assumptions!D$12*Assumptions!D$14*(1-Assumptions!D$9)*Assumptions!D$10)=0,999,D7/(Assumptions!D$8+Assumptions!D$11+Assumptions!D$12*Assumptions!D$14*Assumptions!D$9+Assumptions!D$12*Assumptions!D$14*(1-Assumptions!D$9)*Assumptions!D$10))</f>
        <v/>
      </c>
      <c r="E10" s="2" t="n"/>
    </row>
    <row r="11">
      <c r="A11" s="15" t="inlineStr">
        <is>
          <t>Status</t>
        </is>
      </c>
      <c r="B11" s="6">
        <f>IF(B7&lt;Assumptions!B$7,"At Risk",IF(B10&lt;Assumptions!B$17,"Watch","Healthy"))</f>
        <v/>
      </c>
      <c r="C11" s="6">
        <f>IF(C7&lt;Assumptions!C$7,"At Risk",IF(C10&lt;Assumptions!C$17,"Watch","Healthy"))</f>
        <v/>
      </c>
      <c r="D11" s="6">
        <f>IF(D7&lt;Assumptions!D$7,"At Risk",IF(D10&lt;Assumptions!D$17,"Watch","Healthy"))</f>
        <v/>
      </c>
      <c r="E11" s="2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Model Checks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7" t="inlineStr">
        <is>
          <t>Check</t>
        </is>
      </c>
      <c r="B3" s="7" t="inlineStr">
        <is>
          <t>Result</t>
        </is>
      </c>
      <c r="C3" s="7" t="inlineStr">
        <is>
          <t>Detail</t>
        </is>
      </c>
      <c r="D3" s="7" t="inlineStr">
        <is>
          <t>Formula / Logic</t>
        </is>
      </c>
    </row>
    <row r="4">
      <c r="A4" s="8" t="inlineStr">
        <is>
          <t>Opening cash flows to forecast</t>
        </is>
      </c>
      <c r="B4" s="4">
        <f>IF('13-Week Forecast'!B4=Assumptions!$E$6,"PASS","FAIL")</f>
        <v/>
      </c>
      <c r="C4" s="4">
        <f>'13-Week Forecast'!B4-Assumptions!$E$6</f>
        <v/>
      </c>
      <c r="D4" s="8" t="inlineStr">
        <is>
          <t>Week 1 opening cash equals active scenario opening cash</t>
        </is>
      </c>
    </row>
    <row r="5">
      <c r="A5" s="8" t="inlineStr">
        <is>
          <t>Closing cash roll-forward</t>
        </is>
      </c>
      <c r="B5" s="4">
        <f>IF(SUMPRODUCT(ABS('13-Week Forecast'!B13:N13-('13-Week Forecast'!B4:N4+'13-Week Forecast'!B12:N12)))&lt;0.01,"PASS","FAIL")</f>
        <v/>
      </c>
      <c r="C5" s="4">
        <f>SUMPRODUCT(ABS('13-Week Forecast'!B13:N13-('13-Week Forecast'!B4:N4+'13-Week Forecast'!B12:N12)))</f>
        <v/>
      </c>
      <c r="D5" s="8" t="inlineStr">
        <is>
          <t>Closing cash = opening cash + net cash flow</t>
        </is>
      </c>
    </row>
    <row r="6">
      <c r="A6" s="8" t="inlineStr">
        <is>
          <t>No negative receipts</t>
        </is>
      </c>
      <c r="B6" s="4">
        <f>IF(MIN('13-Week Forecast'!B5:N5)&gt;=0,"PASS","FAIL")</f>
        <v/>
      </c>
      <c r="C6" s="4">
        <f>MIN('13-Week Forecast'!B5:N5)</f>
        <v/>
      </c>
      <c r="D6" s="8" t="inlineStr">
        <is>
          <t>Receipts cannot be negative</t>
        </is>
      </c>
    </row>
    <row r="7">
      <c r="A7" s="8" t="inlineStr">
        <is>
          <t>Tax reserve non-negative</t>
        </is>
      </c>
      <c r="B7" s="4">
        <f>IF(MIN('13-Week Forecast'!B8:N8)&gt;=0,"PASS","FAIL")</f>
        <v/>
      </c>
      <c r="C7" s="4">
        <f>MIN('13-Week Forecast'!B8:N8)</f>
        <v/>
      </c>
      <c r="D7" s="8" t="inlineStr">
        <is>
          <t>Tax reserve floors at zero</t>
        </is>
      </c>
    </row>
    <row r="8">
      <c r="A8" s="8" t="inlineStr">
        <is>
          <t>Scenario selection valid</t>
        </is>
      </c>
      <c r="B8" s="4">
        <f>IF(COUNTIF(Assumptions!$B$20:$D$20,Scenario_Selected)=1,"PASS","FAIL")</f>
        <v/>
      </c>
      <c r="C8" s="4">
        <f>Scenario_Selected</f>
        <v/>
      </c>
      <c r="D8" s="8" t="inlineStr">
        <is>
          <t>Dropdown must match scenario list</t>
        </is>
      </c>
    </row>
    <row r="9">
      <c r="A9" s="2" t="n"/>
      <c r="B9" s="2" t="n"/>
      <c r="C9" s="2" t="n"/>
      <c r="D9" s="2" t="n"/>
    </row>
    <row r="10">
      <c r="A10" s="16" t="inlineStr">
        <is>
          <t>Overall model status</t>
        </is>
      </c>
      <c r="B10" s="16">
        <f>IF(COUNTIF(B4:B8,"FAIL")=0,"PASS","FAIL")</f>
        <v/>
      </c>
      <c r="C10" s="2" t="n"/>
      <c r="D10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2026-08-06T06:29:57Z</dcterms:created>
  <dcterms:modified xsi:type="dcterms:W3CDTF">2026-08-06T06:29:57Z</dcterms:modified>
</cp:coreProperties>
</file>